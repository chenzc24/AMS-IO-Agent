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Sheet1" sheetId="10" r:id="rId1"/>
    <sheet name="Sheet2" sheetId="1" r:id="rId2"/>
    <sheet name="Sheet11" sheetId="19" r:id="rId3"/>
    <sheet name="Sheet12" sheetId="20" r:id="rId4"/>
    <sheet name="Sheet4" sheetId="7" r:id="rId5"/>
    <sheet name="Sheet3" sheetId="17" r:id="rId6"/>
    <sheet name="Sheet7" sheetId="1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<sst xmlns="http://schemas.openxmlformats.org/spreadsheetml/2006/main" count="96" uniqueCount="23">
  <si>
    <t>8-bit binary capacitor array: each LSB consists of one Cunit. A ring of dummy is added outside the core array, with the dummy's thickness being one Cunit. The array is approximately a slender rectangle in shape.</t>
  </si>
  <si>
    <t>Ci=2^i*Cunit(i=0,1…N-1)                      Ctotal=（2^N -0）Cunit</t>
  </si>
  <si>
    <t>cap</t>
  </si>
  <si>
    <t>count</t>
  </si>
  <si>
    <t>pin name</t>
  </si>
  <si>
    <t>LSB4</t>
  </si>
  <si>
    <t>LSB3</t>
  </si>
  <si>
    <t>LSB2</t>
  </si>
  <si>
    <t>LSB1</t>
  </si>
  <si>
    <t>MSB4</t>
  </si>
  <si>
    <t>MSB3</t>
  </si>
  <si>
    <t>MSB2</t>
  </si>
  <si>
    <t>MSB1</t>
  </si>
  <si>
    <t>total</t>
  </si>
  <si>
    <t>8-bit binary capacitor array: each LSB consists of one Cunit. A ring of dummy is added outside the core array, with the dummy's thickness being one Cunit. The array is approximately a square.</t>
  </si>
  <si>
    <t>LSB0</t>
  </si>
  <si>
    <t>8-bit binary capacitor array: each LSB consists of one Cunit. A ring of dummy is added outside the core array, with the dummy's thickness being one Cunit. The array is approximately a slender rectangle in shape,with redundant design added and MSB&lt;3&gt; bit inserted.</t>
  </si>
  <si>
    <t>MSB5</t>
  </si>
  <si>
    <t>8-bit binary capacitor array: each LSB consists of one Cunit. A ring of dummy is added outside the core array, with the dummy's thickness being one Cunit. The array is approximately a square,with redundant design added and MSB&lt;3&gt; bit inserted.</t>
  </si>
  <si>
    <t>8-bit binary capacitor array: each LSB consists of one Cunit. A ring of dummy is added outside the core array, with the dummy's thickness being one Cunit. The array is approximately a fat rectangle in shape.</t>
  </si>
  <si>
    <t>Ci=2^i*Cunit(i=0,1…N-1)                      Ctotal=（2^N -1）Cunit</t>
  </si>
  <si>
    <t>8-bit binary capacitor array: each LSB consists of one Cunit. A ring of dummy is added outside the core array, with the dummy's thickness being one Cunit. The array is approximately a fat rectangle in shape,with redundant design added and MSB&lt;3&gt; bit inserted.</t>
  </si>
  <si>
    <t>8-bit sub-radix 2 capacitor array: each LSB consists of one Cunit. A ring of dummy is added outside the core array, with the dummy's thickness being one Cunit, and the array is approximately a squre in shape.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</si>
</sst>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BN22"/>
  <sheetViews>
    <sheetView zoomScale="145" zoomScaleNormal="145" workbookViewId="0">
      <selection activeCell="N13" sqref="N13"/>
    </sheetView>
  </sheetViews>
  <sheetFormatPr defaultColWidth="4.58333333333333" defaultRowHeight="14.25"/>
  <sheetData>
    <row r="2" spans="1:66">
      <c r="B2" t="s">
        <v>0</v>
      </c>
    </row>
    <row r="4" spans="1:66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0</v>
      </c>
      <c r="B5" s="1">
        <v>1</v>
      </c>
      <c r="C5" s="1">
        <v>1</v>
      </c>
      <c r="D5" s="1">
        <v>2</v>
      </c>
      <c r="E5" s="1">
        <v>2</v>
      </c>
      <c r="F5" s="1">
        <v>4</v>
      </c>
      <c r="G5" s="1">
        <v>4</v>
      </c>
      <c r="H5" s="1">
        <v>4</v>
      </c>
      <c r="I5" s="1">
        <v>4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16</v>
      </c>
      <c r="S5" s="1">
        <v>16</v>
      </c>
      <c r="T5" s="1">
        <v>16</v>
      </c>
      <c r="U5" s="1">
        <v>16</v>
      </c>
      <c r="V5" s="1">
        <v>16</v>
      </c>
      <c r="W5" s="1">
        <v>16</v>
      </c>
      <c r="X5" s="1">
        <v>16</v>
      </c>
      <c r="Y5" s="1">
        <v>16</v>
      </c>
      <c r="Z5" s="1">
        <v>16</v>
      </c>
      <c r="AA5" s="1">
        <v>16</v>
      </c>
      <c r="AB5" s="1">
        <v>16</v>
      </c>
      <c r="AC5" s="1">
        <v>16</v>
      </c>
      <c r="AD5" s="1">
        <v>16</v>
      </c>
      <c r="AE5" s="1">
        <v>16</v>
      </c>
      <c r="AF5" s="1">
        <v>16</v>
      </c>
      <c r="AG5" s="1">
        <v>16</v>
      </c>
      <c r="AH5" s="1">
        <v>32</v>
      </c>
      <c r="AI5" s="1">
        <v>32</v>
      </c>
      <c r="AJ5" s="1">
        <v>32</v>
      </c>
      <c r="AK5" s="1">
        <v>32</v>
      </c>
      <c r="AL5" s="1">
        <v>32</v>
      </c>
      <c r="AM5" s="1">
        <v>32</v>
      </c>
      <c r="AN5" s="1">
        <v>32</v>
      </c>
      <c r="AO5" s="1">
        <v>32</v>
      </c>
      <c r="AP5" s="1">
        <v>32</v>
      </c>
      <c r="AQ5" s="1">
        <v>32</v>
      </c>
      <c r="AR5" s="1">
        <v>32</v>
      </c>
      <c r="AS5" s="1">
        <v>32</v>
      </c>
      <c r="AT5" s="1">
        <v>32</v>
      </c>
      <c r="AU5" s="1">
        <v>32</v>
      </c>
      <c r="AV5" s="1">
        <v>32</v>
      </c>
      <c r="AW5" s="1">
        <v>32</v>
      </c>
      <c r="AX5" s="1">
        <v>32</v>
      </c>
      <c r="AY5" s="1">
        <v>32</v>
      </c>
      <c r="AZ5" s="1">
        <v>32</v>
      </c>
      <c r="BA5" s="1">
        <v>32</v>
      </c>
      <c r="BB5" s="1">
        <v>32</v>
      </c>
      <c r="BC5" s="1">
        <v>32</v>
      </c>
      <c r="BD5" s="1">
        <v>32</v>
      </c>
      <c r="BE5" s="1">
        <v>32</v>
      </c>
      <c r="BF5" s="1">
        <v>32</v>
      </c>
      <c r="BG5" s="1">
        <v>32</v>
      </c>
      <c r="BH5" s="1">
        <v>32</v>
      </c>
      <c r="BI5" s="1">
        <v>32</v>
      </c>
      <c r="BJ5" s="1">
        <v>32</v>
      </c>
      <c r="BK5" s="1">
        <v>32</v>
      </c>
      <c r="BL5" s="1">
        <v>32</v>
      </c>
      <c r="BM5" s="1">
        <v>32</v>
      </c>
      <c r="BN5" s="1">
        <v>0</v>
      </c>
    </row>
    <row r="6" spans="1:66">
      <c r="A6" s="1">
        <v>0</v>
      </c>
      <c r="B6" s="1">
        <v>64</v>
      </c>
      <c r="C6" s="1">
        <v>64</v>
      </c>
      <c r="D6" s="1">
        <v>64</v>
      </c>
      <c r="E6" s="1">
        <v>64</v>
      </c>
      <c r="F6" s="1">
        <v>64</v>
      </c>
      <c r="G6" s="1">
        <v>64</v>
      </c>
      <c r="H6" s="1">
        <v>64</v>
      </c>
      <c r="I6" s="1">
        <v>64</v>
      </c>
      <c r="J6" s="1">
        <v>64</v>
      </c>
      <c r="K6" s="1">
        <v>64</v>
      </c>
      <c r="L6" s="1">
        <v>64</v>
      </c>
      <c r="M6" s="1">
        <v>64</v>
      </c>
      <c r="N6" s="1">
        <v>64</v>
      </c>
      <c r="O6" s="1">
        <v>64</v>
      </c>
      <c r="P6" s="1">
        <v>64</v>
      </c>
      <c r="Q6" s="1">
        <v>64</v>
      </c>
      <c r="R6" s="1">
        <v>64</v>
      </c>
      <c r="S6" s="1">
        <v>64</v>
      </c>
      <c r="T6" s="1">
        <v>64</v>
      </c>
      <c r="U6" s="1">
        <v>64</v>
      </c>
      <c r="V6" s="1">
        <v>64</v>
      </c>
      <c r="W6" s="1">
        <v>64</v>
      </c>
      <c r="X6" s="1">
        <v>64</v>
      </c>
      <c r="Y6" s="1">
        <v>64</v>
      </c>
      <c r="Z6" s="1">
        <v>64</v>
      </c>
      <c r="AA6" s="1">
        <v>64</v>
      </c>
      <c r="AB6" s="1">
        <v>64</v>
      </c>
      <c r="AC6" s="1">
        <v>64</v>
      </c>
      <c r="AD6" s="1">
        <v>64</v>
      </c>
      <c r="AE6" s="1">
        <v>64</v>
      </c>
      <c r="AF6" s="1">
        <v>64</v>
      </c>
      <c r="AG6" s="1">
        <v>64</v>
      </c>
      <c r="AH6" s="1">
        <v>64</v>
      </c>
      <c r="AI6" s="1">
        <v>64</v>
      </c>
      <c r="AJ6" s="1">
        <v>64</v>
      </c>
      <c r="AK6" s="1">
        <v>64</v>
      </c>
      <c r="AL6" s="1">
        <v>64</v>
      </c>
      <c r="AM6" s="1">
        <v>64</v>
      </c>
      <c r="AN6" s="1">
        <v>64</v>
      </c>
      <c r="AO6" s="1">
        <v>64</v>
      </c>
      <c r="AP6" s="1">
        <v>64</v>
      </c>
      <c r="AQ6" s="1">
        <v>64</v>
      </c>
      <c r="AR6" s="1">
        <v>64</v>
      </c>
      <c r="AS6" s="1">
        <v>64</v>
      </c>
      <c r="AT6" s="1">
        <v>64</v>
      </c>
      <c r="AU6" s="1">
        <v>64</v>
      </c>
      <c r="AV6" s="1">
        <v>64</v>
      </c>
      <c r="AW6" s="1">
        <v>64</v>
      </c>
      <c r="AX6" s="1">
        <v>64</v>
      </c>
      <c r="AY6" s="1">
        <v>64</v>
      </c>
      <c r="AZ6" s="1">
        <v>64</v>
      </c>
      <c r="BA6" s="1">
        <v>64</v>
      </c>
      <c r="BB6" s="1">
        <v>64</v>
      </c>
      <c r="BC6" s="1">
        <v>64</v>
      </c>
      <c r="BD6" s="1">
        <v>64</v>
      </c>
      <c r="BE6" s="1">
        <v>64</v>
      </c>
      <c r="BF6" s="1">
        <v>64</v>
      </c>
      <c r="BG6" s="1">
        <v>64</v>
      </c>
      <c r="BH6" s="1">
        <v>64</v>
      </c>
      <c r="BI6" s="1">
        <v>64</v>
      </c>
      <c r="BJ6" s="1">
        <v>64</v>
      </c>
      <c r="BK6" s="1">
        <v>64</v>
      </c>
      <c r="BL6" s="1">
        <v>64</v>
      </c>
      <c r="BM6" s="1">
        <v>64</v>
      </c>
      <c r="BN6" s="1">
        <v>0</v>
      </c>
    </row>
    <row r="7" spans="1:66">
      <c r="A7" s="1">
        <v>0</v>
      </c>
      <c r="B7" s="1">
        <v>128</v>
      </c>
      <c r="C7" s="1">
        <v>128</v>
      </c>
      <c r="D7" s="1">
        <v>128</v>
      </c>
      <c r="E7" s="1">
        <v>128</v>
      </c>
      <c r="F7" s="1">
        <v>128</v>
      </c>
      <c r="G7" s="1">
        <v>128</v>
      </c>
      <c r="H7" s="1">
        <v>128</v>
      </c>
      <c r="I7" s="1">
        <v>128</v>
      </c>
      <c r="J7" s="1">
        <v>128</v>
      </c>
      <c r="K7" s="1">
        <v>128</v>
      </c>
      <c r="L7" s="1">
        <v>128</v>
      </c>
      <c r="M7" s="1">
        <v>128</v>
      </c>
      <c r="N7" s="1">
        <v>128</v>
      </c>
      <c r="O7" s="1">
        <v>128</v>
      </c>
      <c r="P7" s="1">
        <v>128</v>
      </c>
      <c r="Q7" s="1">
        <v>128</v>
      </c>
      <c r="R7" s="1">
        <v>128</v>
      </c>
      <c r="S7" s="1">
        <v>128</v>
      </c>
      <c r="T7" s="1">
        <v>128</v>
      </c>
      <c r="U7" s="1">
        <v>128</v>
      </c>
      <c r="V7" s="1">
        <v>128</v>
      </c>
      <c r="W7" s="1">
        <v>128</v>
      </c>
      <c r="X7" s="1">
        <v>128</v>
      </c>
      <c r="Y7" s="1">
        <v>128</v>
      </c>
      <c r="Z7" s="1">
        <v>128</v>
      </c>
      <c r="AA7" s="1">
        <v>128</v>
      </c>
      <c r="AB7" s="1">
        <v>128</v>
      </c>
      <c r="AC7" s="1">
        <v>128</v>
      </c>
      <c r="AD7" s="1">
        <v>128</v>
      </c>
      <c r="AE7" s="1">
        <v>128</v>
      </c>
      <c r="AF7" s="1">
        <v>128</v>
      </c>
      <c r="AG7" s="1">
        <v>128</v>
      </c>
      <c r="AH7" s="1">
        <v>128</v>
      </c>
      <c r="AI7" s="1">
        <v>128</v>
      </c>
      <c r="AJ7" s="1">
        <v>128</v>
      </c>
      <c r="AK7" s="1">
        <v>128</v>
      </c>
      <c r="AL7" s="1">
        <v>128</v>
      </c>
      <c r="AM7" s="1">
        <v>128</v>
      </c>
      <c r="AN7" s="1">
        <v>128</v>
      </c>
      <c r="AO7" s="1">
        <v>128</v>
      </c>
      <c r="AP7" s="1">
        <v>128</v>
      </c>
      <c r="AQ7" s="1">
        <v>128</v>
      </c>
      <c r="AR7" s="1">
        <v>128</v>
      </c>
      <c r="AS7" s="1">
        <v>128</v>
      </c>
      <c r="AT7" s="1">
        <v>128</v>
      </c>
      <c r="AU7" s="1">
        <v>128</v>
      </c>
      <c r="AV7" s="1">
        <v>128</v>
      </c>
      <c r="AW7" s="1">
        <v>128</v>
      </c>
      <c r="AX7" s="1">
        <v>128</v>
      </c>
      <c r="AY7" s="1">
        <v>128</v>
      </c>
      <c r="AZ7" s="1">
        <v>128</v>
      </c>
      <c r="BA7" s="1">
        <v>128</v>
      </c>
      <c r="BB7" s="1">
        <v>128</v>
      </c>
      <c r="BC7" s="1">
        <v>128</v>
      </c>
      <c r="BD7" s="1">
        <v>128</v>
      </c>
      <c r="BE7" s="1">
        <v>128</v>
      </c>
      <c r="BF7" s="1">
        <v>128</v>
      </c>
      <c r="BG7" s="1">
        <v>128</v>
      </c>
      <c r="BH7" s="1">
        <v>128</v>
      </c>
      <c r="BI7" s="1">
        <v>128</v>
      </c>
      <c r="BJ7" s="1">
        <v>128</v>
      </c>
      <c r="BK7" s="1">
        <v>128</v>
      </c>
      <c r="BL7" s="1">
        <v>128</v>
      </c>
      <c r="BM7" s="1">
        <v>128</v>
      </c>
      <c r="BN7" s="1">
        <v>0</v>
      </c>
    </row>
    <row r="8" spans="1:66">
      <c r="A8" s="1">
        <v>0</v>
      </c>
      <c r="B8" s="1">
        <v>128</v>
      </c>
      <c r="C8" s="1">
        <v>128</v>
      </c>
      <c r="D8" s="1">
        <v>128</v>
      </c>
      <c r="E8" s="1">
        <v>128</v>
      </c>
      <c r="F8" s="1">
        <v>128</v>
      </c>
      <c r="G8" s="1">
        <v>128</v>
      </c>
      <c r="H8" s="1">
        <v>128</v>
      </c>
      <c r="I8" s="1">
        <v>128</v>
      </c>
      <c r="J8" s="1">
        <v>128</v>
      </c>
      <c r="K8" s="1">
        <v>128</v>
      </c>
      <c r="L8" s="1">
        <v>128</v>
      </c>
      <c r="M8" s="1">
        <v>128</v>
      </c>
      <c r="N8" s="1">
        <v>128</v>
      </c>
      <c r="O8" s="1">
        <v>128</v>
      </c>
      <c r="P8" s="1">
        <v>128</v>
      </c>
      <c r="Q8" s="1">
        <v>128</v>
      </c>
      <c r="R8" s="1">
        <v>128</v>
      </c>
      <c r="S8" s="1">
        <v>128</v>
      </c>
      <c r="T8" s="1">
        <v>128</v>
      </c>
      <c r="U8" s="1">
        <v>128</v>
      </c>
      <c r="V8" s="1">
        <v>128</v>
      </c>
      <c r="W8" s="1">
        <v>128</v>
      </c>
      <c r="X8" s="1">
        <v>128</v>
      </c>
      <c r="Y8" s="1">
        <v>128</v>
      </c>
      <c r="Z8" s="1">
        <v>128</v>
      </c>
      <c r="AA8" s="1">
        <v>128</v>
      </c>
      <c r="AB8" s="1">
        <v>128</v>
      </c>
      <c r="AC8" s="1">
        <v>128</v>
      </c>
      <c r="AD8" s="1">
        <v>128</v>
      </c>
      <c r="AE8" s="1">
        <v>128</v>
      </c>
      <c r="AF8" s="1">
        <v>128</v>
      </c>
      <c r="AG8" s="1">
        <v>128</v>
      </c>
      <c r="AH8" s="1">
        <v>128</v>
      </c>
      <c r="AI8" s="1">
        <v>128</v>
      </c>
      <c r="AJ8" s="1">
        <v>128</v>
      </c>
      <c r="AK8" s="1">
        <v>128</v>
      </c>
      <c r="AL8" s="1">
        <v>128</v>
      </c>
      <c r="AM8" s="1">
        <v>128</v>
      </c>
      <c r="AN8" s="1">
        <v>128</v>
      </c>
      <c r="AO8" s="1">
        <v>128</v>
      </c>
      <c r="AP8" s="1">
        <v>128</v>
      </c>
      <c r="AQ8" s="1">
        <v>128</v>
      </c>
      <c r="AR8" s="1">
        <v>128</v>
      </c>
      <c r="AS8" s="1">
        <v>128</v>
      </c>
      <c r="AT8" s="1">
        <v>128</v>
      </c>
      <c r="AU8" s="1">
        <v>128</v>
      </c>
      <c r="AV8" s="1">
        <v>128</v>
      </c>
      <c r="AW8" s="1">
        <v>128</v>
      </c>
      <c r="AX8" s="1">
        <v>128</v>
      </c>
      <c r="AY8" s="1">
        <v>128</v>
      </c>
      <c r="AZ8" s="1">
        <v>128</v>
      </c>
      <c r="BA8" s="1">
        <v>128</v>
      </c>
      <c r="BB8" s="1">
        <v>128</v>
      </c>
      <c r="BC8" s="1">
        <v>128</v>
      </c>
      <c r="BD8" s="1">
        <v>128</v>
      </c>
      <c r="BE8" s="1">
        <v>128</v>
      </c>
      <c r="BF8" s="1">
        <v>128</v>
      </c>
      <c r="BG8" s="1">
        <v>128</v>
      </c>
      <c r="BH8" s="1">
        <v>128</v>
      </c>
      <c r="BI8" s="1">
        <v>128</v>
      </c>
      <c r="BJ8" s="1">
        <v>128</v>
      </c>
      <c r="BK8" s="1">
        <v>128</v>
      </c>
      <c r="BL8" s="1">
        <v>128</v>
      </c>
      <c r="BM8" s="1">
        <v>128</v>
      </c>
      <c r="BN8" s="1">
        <v>0</v>
      </c>
    </row>
    <row r="9" spans="1:66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2" spans="1:66">
      <c r="G12" t="s">
        <v>1</v>
      </c>
    </row>
    <row r="13" spans="1:66">
      <c r="F13" t="s">
        <v>2</v>
      </c>
      <c r="G13" t="s">
        <v>3</v>
      </c>
      <c r="H13" t="s">
        <v>4</v>
      </c>
    </row>
    <row r="14" spans="1:66">
      <c r="F14">
        <v>1</v>
      </c>
      <c r="G14">
        <f>COUNT(B5:C5)</f>
        <v>2</v>
      </c>
      <c r="H14" t="s">
        <v>5</v>
      </c>
    </row>
    <row r="15" spans="1:66">
      <c r="F15">
        <v>2</v>
      </c>
      <c r="G15">
        <f>COUNT(D5:E5)</f>
        <v>2</v>
      </c>
      <c r="H15" t="s">
        <v>6</v>
      </c>
    </row>
    <row r="16" spans="1:66">
      <c r="F16">
        <v>4</v>
      </c>
      <c r="G16">
        <f>COUNT(F5:I5)</f>
        <v>4</v>
      </c>
      <c r="H16" t="s">
        <v>7</v>
      </c>
    </row>
    <row r="17" spans="6:8">
      <c r="F17">
        <v>8</v>
      </c>
      <c r="G17">
        <f>COUNT(J5:Q5)</f>
        <v>8</v>
      </c>
      <c r="H17" t="s">
        <v>8</v>
      </c>
    </row>
    <row r="18" spans="6:8">
      <c r="F18">
        <v>16</v>
      </c>
      <c r="G18">
        <f>COUNT(R5:AG5)</f>
        <v>16</v>
      </c>
      <c r="H18" t="s">
        <v>9</v>
      </c>
    </row>
    <row r="19" spans="6:8">
      <c r="F19">
        <v>32</v>
      </c>
      <c r="G19">
        <f>COUNT(AH5:BM5)</f>
        <v>32</v>
      </c>
      <c r="H19" t="s">
        <v>10</v>
      </c>
    </row>
    <row r="20" spans="6:8">
      <c r="F20">
        <v>64</v>
      </c>
      <c r="G20">
        <f>COUNT(B6:BM6)</f>
        <v>64</v>
      </c>
      <c r="H20" t="s">
        <v>11</v>
      </c>
    </row>
    <row r="21" spans="6:8">
      <c r="F21">
        <v>128</v>
      </c>
      <c r="G21">
        <f>COUNT(B7:BM8)</f>
        <v>128</v>
      </c>
      <c r="H21" t="s">
        <v>12</v>
      </c>
    </row>
    <row r="22" spans="6:8">
      <c r="F22" t="s">
        <v>13</v>
      </c>
      <c r="G22">
        <f>COUNT(B5:BM8)</f>
        <v>256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X21"/>
  <sheetViews>
    <sheetView tabSelected="1" zoomScale="115" zoomScaleNormal="115" workbookViewId="0">
      <selection activeCell="X19" sqref="X19"/>
    </sheetView>
  </sheetViews>
  <sheetFormatPr defaultColWidth="4.58333333333333" defaultRowHeight="14.25"/>
  <cols>
    <col min="23" max="23" width="20.3166666666667" customWidth="1"/>
    <col min="24" max="24" width="9.66666666666667" customWidth="1"/>
  </cols>
  <sheetData>
    <row r="2" spans="1:24">
      <c r="B2" t="s">
        <v>14</v>
      </c>
    </row>
    <row r="4" spans="1:2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24">
      <c r="A5" s="1">
        <v>0</v>
      </c>
      <c r="B5" s="1">
        <v>1.1</v>
      </c>
      <c r="C5" s="1">
        <v>1</v>
      </c>
      <c r="D5" s="1">
        <v>2</v>
      </c>
      <c r="E5" s="1">
        <v>2</v>
      </c>
      <c r="F5" s="1">
        <v>4</v>
      </c>
      <c r="G5" s="1">
        <v>4</v>
      </c>
      <c r="H5" s="1">
        <v>4</v>
      </c>
      <c r="I5" s="1">
        <v>4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0</v>
      </c>
    </row>
    <row r="6" spans="1:24">
      <c r="A6" s="1">
        <v>0</v>
      </c>
      <c r="B6" s="1">
        <v>16</v>
      </c>
      <c r="C6" s="1">
        <v>16</v>
      </c>
      <c r="D6" s="1">
        <v>16</v>
      </c>
      <c r="E6" s="1">
        <v>16</v>
      </c>
      <c r="F6" s="1">
        <v>16</v>
      </c>
      <c r="G6" s="1">
        <v>16</v>
      </c>
      <c r="H6" s="1">
        <v>16</v>
      </c>
      <c r="I6" s="1">
        <v>16</v>
      </c>
      <c r="J6" s="1">
        <v>16</v>
      </c>
      <c r="K6" s="1">
        <v>16</v>
      </c>
      <c r="L6" s="1">
        <v>16</v>
      </c>
      <c r="M6" s="1">
        <v>16</v>
      </c>
      <c r="N6" s="1">
        <v>16</v>
      </c>
      <c r="O6" s="1">
        <v>16</v>
      </c>
      <c r="P6" s="1">
        <v>16</v>
      </c>
      <c r="Q6" s="1">
        <v>16</v>
      </c>
      <c r="R6" s="1">
        <v>0</v>
      </c>
    </row>
    <row r="7" spans="1:24">
      <c r="A7" s="1">
        <v>0</v>
      </c>
      <c r="B7" s="1">
        <v>32</v>
      </c>
      <c r="C7" s="1">
        <v>32</v>
      </c>
      <c r="D7" s="1">
        <v>32</v>
      </c>
      <c r="E7" s="1">
        <v>32</v>
      </c>
      <c r="F7" s="1">
        <v>32</v>
      </c>
      <c r="G7" s="1">
        <v>32</v>
      </c>
      <c r="H7" s="1">
        <v>32</v>
      </c>
      <c r="I7" s="1">
        <v>32</v>
      </c>
      <c r="J7" s="1">
        <v>32</v>
      </c>
      <c r="K7" s="1">
        <v>32</v>
      </c>
      <c r="L7" s="1">
        <v>32</v>
      </c>
      <c r="M7" s="1">
        <v>32</v>
      </c>
      <c r="N7" s="1">
        <v>32</v>
      </c>
      <c r="O7" s="1">
        <v>32</v>
      </c>
      <c r="P7" s="1">
        <v>32</v>
      </c>
      <c r="Q7" s="1">
        <v>32</v>
      </c>
      <c r="R7" s="1">
        <v>0</v>
      </c>
    </row>
    <row r="8" spans="1:24">
      <c r="A8" s="1">
        <v>0</v>
      </c>
      <c r="B8" s="1">
        <v>32</v>
      </c>
      <c r="C8" s="1">
        <v>32</v>
      </c>
      <c r="D8" s="1">
        <v>32</v>
      </c>
      <c r="E8" s="1">
        <v>32</v>
      </c>
      <c r="F8" s="1">
        <v>32</v>
      </c>
      <c r="G8" s="1">
        <v>32</v>
      </c>
      <c r="H8" s="1">
        <v>32</v>
      </c>
      <c r="I8" s="1">
        <v>32</v>
      </c>
      <c r="J8" s="1">
        <v>32</v>
      </c>
      <c r="K8" s="1">
        <v>32</v>
      </c>
      <c r="L8" s="1">
        <v>32</v>
      </c>
      <c r="M8" s="1">
        <v>32</v>
      </c>
      <c r="N8" s="1">
        <v>32</v>
      </c>
      <c r="O8" s="1">
        <v>32</v>
      </c>
      <c r="P8" s="1">
        <v>32</v>
      </c>
      <c r="Q8" s="1">
        <v>32</v>
      </c>
      <c r="R8" s="1">
        <v>0</v>
      </c>
      <c r="V8" t="s">
        <v>2</v>
      </c>
      <c r="W8" t="s">
        <v>3</v>
      </c>
      <c r="X8" t="s">
        <v>4</v>
      </c>
    </row>
    <row r="9" spans="1:24">
      <c r="A9" s="1">
        <v>0</v>
      </c>
      <c r="B9" s="1">
        <v>64</v>
      </c>
      <c r="C9" s="1">
        <v>64</v>
      </c>
      <c r="D9" s="1">
        <v>64</v>
      </c>
      <c r="E9" s="1">
        <v>64</v>
      </c>
      <c r="F9" s="1">
        <v>64</v>
      </c>
      <c r="G9" s="1">
        <v>64</v>
      </c>
      <c r="H9" s="1">
        <v>64</v>
      </c>
      <c r="I9" s="1">
        <v>64</v>
      </c>
      <c r="J9" s="1">
        <v>64</v>
      </c>
      <c r="K9" s="1">
        <v>64</v>
      </c>
      <c r="L9" s="1">
        <v>64</v>
      </c>
      <c r="M9" s="1">
        <v>64</v>
      </c>
      <c r="N9" s="1">
        <v>64</v>
      </c>
      <c r="O9" s="1">
        <v>64</v>
      </c>
      <c r="P9" s="1">
        <v>64</v>
      </c>
      <c r="Q9" s="1">
        <v>64</v>
      </c>
      <c r="R9" s="1">
        <v>0</v>
      </c>
      <c r="V9">
        <v>1.1</v>
      </c>
      <c r="W9">
        <f>COUNTIF($A$4:$R$21,V9)</f>
        <v>1</v>
      </c>
      <c r="X9" t="s">
        <v>15</v>
      </c>
    </row>
    <row r="10" spans="1:24">
      <c r="A10" s="1">
        <v>0</v>
      </c>
      <c r="B10" s="1">
        <v>64</v>
      </c>
      <c r="C10" s="1">
        <v>64</v>
      </c>
      <c r="D10" s="1">
        <v>64</v>
      </c>
      <c r="E10" s="1">
        <v>64</v>
      </c>
      <c r="F10" s="1">
        <v>64</v>
      </c>
      <c r="G10" s="1">
        <v>64</v>
      </c>
      <c r="H10" s="1">
        <v>64</v>
      </c>
      <c r="I10" s="1">
        <v>64</v>
      </c>
      <c r="J10" s="1">
        <v>64</v>
      </c>
      <c r="K10" s="1">
        <v>64</v>
      </c>
      <c r="L10" s="1">
        <v>64</v>
      </c>
      <c r="M10" s="1">
        <v>64</v>
      </c>
      <c r="N10" s="1">
        <v>64</v>
      </c>
      <c r="O10" s="1">
        <v>64</v>
      </c>
      <c r="P10" s="1">
        <v>64</v>
      </c>
      <c r="Q10" s="1">
        <v>64</v>
      </c>
      <c r="R10" s="1">
        <v>0</v>
      </c>
      <c r="V10">
        <v>1</v>
      </c>
      <c r="W10">
        <f t="shared" ref="W10:W17" si="0">COUNTIF($A$4:$R$21,V10)</f>
        <v>1</v>
      </c>
      <c r="X10" t="s">
        <v>8</v>
      </c>
    </row>
    <row r="11" spans="1:24">
      <c r="A11" s="1">
        <v>0</v>
      </c>
      <c r="B11" s="1">
        <v>64</v>
      </c>
      <c r="C11" s="1">
        <v>64</v>
      </c>
      <c r="D11" s="1">
        <v>64</v>
      </c>
      <c r="E11" s="1">
        <v>64</v>
      </c>
      <c r="F11" s="1">
        <v>64</v>
      </c>
      <c r="G11" s="1">
        <v>64</v>
      </c>
      <c r="H11" s="1">
        <v>64</v>
      </c>
      <c r="I11" s="1">
        <v>64</v>
      </c>
      <c r="J11" s="1">
        <v>64</v>
      </c>
      <c r="K11" s="1">
        <v>64</v>
      </c>
      <c r="L11" s="1">
        <v>64</v>
      </c>
      <c r="M11" s="1">
        <v>64</v>
      </c>
      <c r="N11" s="1">
        <v>64</v>
      </c>
      <c r="O11" s="1">
        <v>64</v>
      </c>
      <c r="P11" s="1">
        <v>64</v>
      </c>
      <c r="Q11" s="1">
        <v>64</v>
      </c>
      <c r="R11" s="1">
        <v>0</v>
      </c>
      <c r="V11">
        <v>2</v>
      </c>
      <c r="W11">
        <f t="shared" si="0"/>
        <v>2</v>
      </c>
      <c r="X11" t="s">
        <v>7</v>
      </c>
    </row>
    <row r="12" spans="1:24">
      <c r="A12" s="1">
        <v>0</v>
      </c>
      <c r="B12" s="1">
        <v>64</v>
      </c>
      <c r="C12" s="1">
        <v>64</v>
      </c>
      <c r="D12" s="1">
        <v>64</v>
      </c>
      <c r="E12" s="1">
        <v>64</v>
      </c>
      <c r="F12" s="1">
        <v>64</v>
      </c>
      <c r="G12" s="1">
        <v>64</v>
      </c>
      <c r="H12" s="1">
        <v>64</v>
      </c>
      <c r="I12" s="1">
        <v>64</v>
      </c>
      <c r="J12" s="1">
        <v>64</v>
      </c>
      <c r="K12" s="1">
        <v>64</v>
      </c>
      <c r="L12" s="1">
        <v>64</v>
      </c>
      <c r="M12" s="1">
        <v>64</v>
      </c>
      <c r="N12" s="1">
        <v>64</v>
      </c>
      <c r="O12" s="1">
        <v>64</v>
      </c>
      <c r="P12" s="1">
        <v>64</v>
      </c>
      <c r="Q12" s="1">
        <v>64</v>
      </c>
      <c r="R12" s="1">
        <v>0</v>
      </c>
      <c r="V12">
        <v>4</v>
      </c>
      <c r="W12">
        <f t="shared" si="0"/>
        <v>4</v>
      </c>
      <c r="X12" t="s">
        <v>6</v>
      </c>
    </row>
    <row r="13" spans="1:24">
      <c r="A13" s="1">
        <v>0</v>
      </c>
      <c r="B13" s="1">
        <v>128</v>
      </c>
      <c r="C13" s="1">
        <v>128</v>
      </c>
      <c r="D13" s="1">
        <v>128</v>
      </c>
      <c r="E13" s="1">
        <v>128</v>
      </c>
      <c r="F13" s="1">
        <v>128</v>
      </c>
      <c r="G13" s="1">
        <v>128</v>
      </c>
      <c r="H13" s="1">
        <v>128</v>
      </c>
      <c r="I13" s="1">
        <v>128</v>
      </c>
      <c r="J13" s="1">
        <v>128</v>
      </c>
      <c r="K13" s="1">
        <v>128</v>
      </c>
      <c r="L13" s="1">
        <v>128</v>
      </c>
      <c r="M13" s="1">
        <v>128</v>
      </c>
      <c r="N13" s="1">
        <v>128</v>
      </c>
      <c r="O13" s="1">
        <v>128</v>
      </c>
      <c r="P13" s="1">
        <v>128</v>
      </c>
      <c r="Q13" s="1">
        <v>128</v>
      </c>
      <c r="R13" s="1">
        <v>0</v>
      </c>
      <c r="V13">
        <v>8</v>
      </c>
      <c r="W13">
        <f t="shared" si="0"/>
        <v>8</v>
      </c>
      <c r="X13" t="s">
        <v>5</v>
      </c>
    </row>
    <row r="14" spans="1:24">
      <c r="A14" s="1">
        <v>0</v>
      </c>
      <c r="B14" s="1">
        <v>128</v>
      </c>
      <c r="C14" s="1">
        <v>128</v>
      </c>
      <c r="D14" s="1">
        <v>128</v>
      </c>
      <c r="E14" s="1">
        <v>128</v>
      </c>
      <c r="F14" s="1">
        <v>128</v>
      </c>
      <c r="G14" s="1">
        <v>128</v>
      </c>
      <c r="H14" s="1">
        <v>128</v>
      </c>
      <c r="I14" s="1">
        <v>128</v>
      </c>
      <c r="J14" s="1">
        <v>128</v>
      </c>
      <c r="K14" s="1">
        <v>128</v>
      </c>
      <c r="L14" s="1">
        <v>128</v>
      </c>
      <c r="M14" s="1">
        <v>128</v>
      </c>
      <c r="N14" s="1">
        <v>128</v>
      </c>
      <c r="O14" s="1">
        <v>128</v>
      </c>
      <c r="P14" s="1">
        <v>128</v>
      </c>
      <c r="Q14" s="1">
        <v>128</v>
      </c>
      <c r="R14" s="1">
        <v>0</v>
      </c>
      <c r="V14">
        <v>16</v>
      </c>
      <c r="W14">
        <f t="shared" si="0"/>
        <v>16</v>
      </c>
      <c r="X14" t="s">
        <v>12</v>
      </c>
    </row>
    <row r="15" spans="1:24">
      <c r="A15" s="1">
        <v>0</v>
      </c>
      <c r="B15" s="1">
        <v>128</v>
      </c>
      <c r="C15" s="1">
        <v>128</v>
      </c>
      <c r="D15" s="1">
        <v>128</v>
      </c>
      <c r="E15" s="1">
        <v>128</v>
      </c>
      <c r="F15" s="1">
        <v>128</v>
      </c>
      <c r="G15" s="1">
        <v>128</v>
      </c>
      <c r="H15" s="1">
        <v>128</v>
      </c>
      <c r="I15" s="1">
        <v>128</v>
      </c>
      <c r="J15" s="1">
        <v>128</v>
      </c>
      <c r="K15" s="1">
        <v>128</v>
      </c>
      <c r="L15" s="1">
        <v>128</v>
      </c>
      <c r="M15" s="1">
        <v>128</v>
      </c>
      <c r="N15" s="1">
        <v>128</v>
      </c>
      <c r="O15" s="1">
        <v>128</v>
      </c>
      <c r="P15" s="1">
        <v>128</v>
      </c>
      <c r="Q15" s="1">
        <v>128</v>
      </c>
      <c r="R15" s="1">
        <v>0</v>
      </c>
      <c r="V15">
        <v>32</v>
      </c>
      <c r="W15">
        <f t="shared" si="0"/>
        <v>32</v>
      </c>
      <c r="X15" t="s">
        <v>11</v>
      </c>
    </row>
    <row r="16" spans="1:24">
      <c r="A16" s="1">
        <v>0</v>
      </c>
      <c r="B16" s="1">
        <v>128</v>
      </c>
      <c r="C16" s="1">
        <v>128</v>
      </c>
      <c r="D16" s="1">
        <v>128</v>
      </c>
      <c r="E16" s="1">
        <v>128</v>
      </c>
      <c r="F16" s="1">
        <v>128</v>
      </c>
      <c r="G16" s="1">
        <v>128</v>
      </c>
      <c r="H16" s="1">
        <v>128</v>
      </c>
      <c r="I16" s="1">
        <v>128</v>
      </c>
      <c r="J16" s="1">
        <v>128</v>
      </c>
      <c r="K16" s="1">
        <v>128</v>
      </c>
      <c r="L16" s="1">
        <v>128</v>
      </c>
      <c r="M16" s="1">
        <v>128</v>
      </c>
      <c r="N16" s="1">
        <v>128</v>
      </c>
      <c r="O16" s="1">
        <v>128</v>
      </c>
      <c r="P16" s="1">
        <v>128</v>
      </c>
      <c r="Q16" s="1">
        <v>128</v>
      </c>
      <c r="R16" s="1">
        <v>0</v>
      </c>
      <c r="V16">
        <v>64</v>
      </c>
      <c r="W16">
        <f t="shared" si="0"/>
        <v>64</v>
      </c>
      <c r="X16" t="s">
        <v>10</v>
      </c>
    </row>
    <row r="17" spans="1:24">
      <c r="A17" s="1">
        <v>0</v>
      </c>
      <c r="B17" s="1">
        <v>128</v>
      </c>
      <c r="C17" s="1">
        <v>128</v>
      </c>
      <c r="D17" s="1">
        <v>128</v>
      </c>
      <c r="E17" s="1">
        <v>128</v>
      </c>
      <c r="F17" s="1">
        <v>128</v>
      </c>
      <c r="G17" s="1">
        <v>128</v>
      </c>
      <c r="H17" s="1">
        <v>128</v>
      </c>
      <c r="I17" s="1">
        <v>128</v>
      </c>
      <c r="J17" s="1">
        <v>128</v>
      </c>
      <c r="K17" s="1">
        <v>128</v>
      </c>
      <c r="L17" s="1">
        <v>128</v>
      </c>
      <c r="M17" s="1">
        <v>128</v>
      </c>
      <c r="N17" s="1">
        <v>128</v>
      </c>
      <c r="O17" s="1">
        <v>128</v>
      </c>
      <c r="P17" s="1">
        <v>128</v>
      </c>
      <c r="Q17" s="1">
        <v>128</v>
      </c>
      <c r="R17" s="1">
        <v>0</v>
      </c>
      <c r="V17">
        <v>128</v>
      </c>
      <c r="W17">
        <f t="shared" si="0"/>
        <v>128</v>
      </c>
      <c r="X17" t="s">
        <v>9</v>
      </c>
    </row>
    <row r="18" spans="1:24">
      <c r="A18" s="1">
        <v>0</v>
      </c>
      <c r="B18" s="1">
        <v>128</v>
      </c>
      <c r="C18" s="1">
        <v>128</v>
      </c>
      <c r="D18" s="1">
        <v>128</v>
      </c>
      <c r="E18" s="1">
        <v>128</v>
      </c>
      <c r="F18" s="1">
        <v>128</v>
      </c>
      <c r="G18" s="1">
        <v>128</v>
      </c>
      <c r="H18" s="1">
        <v>128</v>
      </c>
      <c r="I18" s="1">
        <v>128</v>
      </c>
      <c r="J18" s="1">
        <v>128</v>
      </c>
      <c r="K18" s="1">
        <v>128</v>
      </c>
      <c r="L18" s="1">
        <v>128</v>
      </c>
      <c r="M18" s="1">
        <v>128</v>
      </c>
      <c r="N18" s="1">
        <v>128</v>
      </c>
      <c r="O18" s="1">
        <v>128</v>
      </c>
      <c r="P18" s="1">
        <v>128</v>
      </c>
      <c r="Q18" s="1">
        <v>128</v>
      </c>
      <c r="R18" s="1">
        <v>0</v>
      </c>
    </row>
    <row r="19" spans="1:24">
      <c r="A19" s="1">
        <v>0</v>
      </c>
      <c r="B19" s="1">
        <v>128</v>
      </c>
      <c r="C19" s="1">
        <v>128</v>
      </c>
      <c r="D19" s="1">
        <v>128</v>
      </c>
      <c r="E19" s="1">
        <v>128</v>
      </c>
      <c r="F19" s="1">
        <v>128</v>
      </c>
      <c r="G19" s="1">
        <v>128</v>
      </c>
      <c r="H19" s="1">
        <v>128</v>
      </c>
      <c r="I19" s="1">
        <v>128</v>
      </c>
      <c r="J19" s="1">
        <v>128</v>
      </c>
      <c r="K19" s="1">
        <v>128</v>
      </c>
      <c r="L19" s="1">
        <v>128</v>
      </c>
      <c r="M19" s="1">
        <v>128</v>
      </c>
      <c r="N19" s="1">
        <v>128</v>
      </c>
      <c r="O19" s="1">
        <v>128</v>
      </c>
      <c r="P19" s="1">
        <v>128</v>
      </c>
      <c r="Q19" s="1">
        <v>128</v>
      </c>
      <c r="R19" s="1">
        <v>0</v>
      </c>
    </row>
    <row r="20" spans="1:24">
      <c r="A20" s="1">
        <v>0</v>
      </c>
      <c r="B20" s="1">
        <v>128</v>
      </c>
      <c r="C20" s="1">
        <v>128</v>
      </c>
      <c r="D20" s="1">
        <v>128</v>
      </c>
      <c r="E20" s="1">
        <v>128</v>
      </c>
      <c r="F20" s="1">
        <v>128</v>
      </c>
      <c r="G20" s="1">
        <v>128</v>
      </c>
      <c r="H20" s="1">
        <v>128</v>
      </c>
      <c r="I20" s="1">
        <v>128</v>
      </c>
      <c r="J20" s="1">
        <v>128</v>
      </c>
      <c r="K20" s="1">
        <v>128</v>
      </c>
      <c r="L20" s="1">
        <v>128</v>
      </c>
      <c r="M20" s="1">
        <v>128</v>
      </c>
      <c r="N20" s="1">
        <v>128</v>
      </c>
      <c r="O20" s="1">
        <v>128</v>
      </c>
      <c r="P20" s="1">
        <v>128</v>
      </c>
      <c r="Q20" s="1">
        <v>128</v>
      </c>
      <c r="R20" s="1">
        <v>0</v>
      </c>
    </row>
    <row r="21" spans="1:24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N24"/>
  <sheetViews>
    <sheetView zoomScale="85" zoomScaleNormal="85" workbookViewId="0">
      <selection activeCell="M43" sqref="M43"/>
    </sheetView>
  </sheetViews>
  <sheetFormatPr defaultColWidth="4.58333333333333" defaultRowHeight="14.25"/>
  <sheetData>
    <row r="2" spans="1:66">
      <c r="B2" t="s">
        <v>16</v>
      </c>
    </row>
    <row r="4" spans="1:66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0</v>
      </c>
      <c r="B5" s="1">
        <v>1</v>
      </c>
      <c r="C5" s="1">
        <v>1</v>
      </c>
      <c r="D5" s="1">
        <v>2</v>
      </c>
      <c r="E5" s="1">
        <v>2</v>
      </c>
      <c r="F5" s="1">
        <v>4</v>
      </c>
      <c r="G5" s="1">
        <v>4</v>
      </c>
      <c r="H5" s="1">
        <v>4</v>
      </c>
      <c r="I5" s="1">
        <v>4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16</v>
      </c>
      <c r="S5" s="1">
        <v>16</v>
      </c>
      <c r="T5" s="1">
        <v>16</v>
      </c>
      <c r="U5" s="1">
        <v>16</v>
      </c>
      <c r="V5" s="1">
        <v>16</v>
      </c>
      <c r="W5" s="1">
        <v>16</v>
      </c>
      <c r="X5" s="1">
        <v>16</v>
      </c>
      <c r="Y5" s="1">
        <v>16</v>
      </c>
      <c r="Z5" s="1">
        <v>16</v>
      </c>
      <c r="AA5" s="1">
        <v>16</v>
      </c>
      <c r="AB5" s="1">
        <v>16</v>
      </c>
      <c r="AC5" s="1">
        <v>16</v>
      </c>
      <c r="AD5" s="1">
        <v>16</v>
      </c>
      <c r="AE5" s="1">
        <v>16</v>
      </c>
      <c r="AF5" s="1">
        <v>16</v>
      </c>
      <c r="AG5" s="1">
        <v>16</v>
      </c>
      <c r="AH5" s="1">
        <v>32</v>
      </c>
      <c r="AI5" s="1">
        <v>32</v>
      </c>
      <c r="AJ5" s="1">
        <v>32</v>
      </c>
      <c r="AK5" s="1">
        <v>32</v>
      </c>
      <c r="AL5" s="1">
        <v>32</v>
      </c>
      <c r="AM5" s="1">
        <v>32</v>
      </c>
      <c r="AN5" s="1">
        <v>32</v>
      </c>
      <c r="AO5" s="1">
        <v>32</v>
      </c>
      <c r="AP5" s="1">
        <v>32</v>
      </c>
      <c r="AQ5" s="1">
        <v>32</v>
      </c>
      <c r="AR5" s="1">
        <v>32</v>
      </c>
      <c r="AS5" s="1">
        <v>32</v>
      </c>
      <c r="AT5" s="1">
        <v>32</v>
      </c>
      <c r="AU5" s="1">
        <v>32</v>
      </c>
      <c r="AV5" s="1">
        <v>32</v>
      </c>
      <c r="AW5" s="1">
        <v>32</v>
      </c>
      <c r="AX5" s="1">
        <v>32</v>
      </c>
      <c r="AY5" s="1">
        <v>32</v>
      </c>
      <c r="AZ5" s="1">
        <v>32</v>
      </c>
      <c r="BA5" s="1">
        <v>32</v>
      </c>
      <c r="BB5" s="1">
        <v>32</v>
      </c>
      <c r="BC5" s="1">
        <v>32</v>
      </c>
      <c r="BD5" s="1">
        <v>32</v>
      </c>
      <c r="BE5" s="1">
        <v>32</v>
      </c>
      <c r="BF5" s="1">
        <v>32</v>
      </c>
      <c r="BG5" s="1">
        <v>32</v>
      </c>
      <c r="BH5" s="1">
        <v>32</v>
      </c>
      <c r="BI5" s="1">
        <v>32</v>
      </c>
      <c r="BJ5" s="1">
        <v>32</v>
      </c>
      <c r="BK5" s="1">
        <v>32</v>
      </c>
      <c r="BL5" s="1">
        <v>32</v>
      </c>
      <c r="BM5" s="1">
        <v>32</v>
      </c>
      <c r="BN5" s="1">
        <v>0</v>
      </c>
    </row>
    <row r="6" spans="1:66">
      <c r="A6" s="1">
        <v>0</v>
      </c>
      <c r="B6" s="1">
        <v>32.1</v>
      </c>
      <c r="C6" s="1">
        <v>32.1</v>
      </c>
      <c r="D6" s="1">
        <v>32.1</v>
      </c>
      <c r="E6" s="1">
        <v>32.1</v>
      </c>
      <c r="F6" s="1">
        <v>32.1</v>
      </c>
      <c r="G6" s="1">
        <v>32.1</v>
      </c>
      <c r="H6" s="1">
        <v>32.1</v>
      </c>
      <c r="I6" s="1">
        <v>32.1</v>
      </c>
      <c r="J6" s="1">
        <v>32.1</v>
      </c>
      <c r="K6" s="1">
        <v>32.1</v>
      </c>
      <c r="L6" s="1">
        <v>32.1</v>
      </c>
      <c r="M6" s="1">
        <v>32.1</v>
      </c>
      <c r="N6" s="1">
        <v>32.1</v>
      </c>
      <c r="O6" s="1">
        <v>32.1</v>
      </c>
      <c r="P6" s="1">
        <v>32.1</v>
      </c>
      <c r="Q6" s="1">
        <v>32.1</v>
      </c>
      <c r="R6" s="1">
        <v>32.1</v>
      </c>
      <c r="S6" s="1">
        <v>32.1</v>
      </c>
      <c r="T6" s="1">
        <v>32.1</v>
      </c>
      <c r="U6" s="1">
        <v>32.1</v>
      </c>
      <c r="V6" s="1">
        <v>32.1</v>
      </c>
      <c r="W6" s="1">
        <v>32.1</v>
      </c>
      <c r="X6" s="1">
        <v>32.1</v>
      </c>
      <c r="Y6" s="1">
        <v>32.1</v>
      </c>
      <c r="Z6" s="1">
        <v>32.1</v>
      </c>
      <c r="AA6" s="1">
        <v>32.1</v>
      </c>
      <c r="AB6" s="1">
        <v>32.1</v>
      </c>
      <c r="AC6" s="1">
        <v>32.1</v>
      </c>
      <c r="AD6" s="1">
        <v>32.1</v>
      </c>
      <c r="AE6" s="1">
        <v>32.1</v>
      </c>
      <c r="AF6" s="1">
        <v>32.1</v>
      </c>
      <c r="AG6" s="1">
        <v>32.1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>
      <c r="A7" s="1">
        <v>0</v>
      </c>
      <c r="B7" s="1">
        <v>64</v>
      </c>
      <c r="C7" s="1">
        <v>64</v>
      </c>
      <c r="D7" s="1">
        <v>64</v>
      </c>
      <c r="E7" s="1">
        <v>64</v>
      </c>
      <c r="F7" s="1">
        <v>64</v>
      </c>
      <c r="G7" s="1">
        <v>64</v>
      </c>
      <c r="H7" s="1">
        <v>64</v>
      </c>
      <c r="I7" s="1">
        <v>64</v>
      </c>
      <c r="J7" s="1">
        <v>64</v>
      </c>
      <c r="K7" s="1">
        <v>64</v>
      </c>
      <c r="L7" s="1">
        <v>64</v>
      </c>
      <c r="M7" s="1">
        <v>64</v>
      </c>
      <c r="N7" s="1">
        <v>64</v>
      </c>
      <c r="O7" s="1">
        <v>64</v>
      </c>
      <c r="P7" s="1">
        <v>64</v>
      </c>
      <c r="Q7" s="1">
        <v>64</v>
      </c>
      <c r="R7" s="1">
        <v>64</v>
      </c>
      <c r="S7" s="1">
        <v>64</v>
      </c>
      <c r="T7" s="1">
        <v>64</v>
      </c>
      <c r="U7" s="1">
        <v>64</v>
      </c>
      <c r="V7" s="1">
        <v>64</v>
      </c>
      <c r="W7" s="1">
        <v>64</v>
      </c>
      <c r="X7" s="1">
        <v>64</v>
      </c>
      <c r="Y7" s="1">
        <v>64</v>
      </c>
      <c r="Z7" s="1">
        <v>64</v>
      </c>
      <c r="AA7" s="1">
        <v>64</v>
      </c>
      <c r="AB7" s="1">
        <v>64</v>
      </c>
      <c r="AC7" s="1">
        <v>64</v>
      </c>
      <c r="AD7" s="1">
        <v>64</v>
      </c>
      <c r="AE7" s="1">
        <v>64</v>
      </c>
      <c r="AF7" s="1">
        <v>64</v>
      </c>
      <c r="AG7" s="1">
        <v>64</v>
      </c>
      <c r="AH7" s="1">
        <v>64</v>
      </c>
      <c r="AI7" s="1">
        <v>64</v>
      </c>
      <c r="AJ7" s="1">
        <v>64</v>
      </c>
      <c r="AK7" s="1">
        <v>64</v>
      </c>
      <c r="AL7" s="1">
        <v>64</v>
      </c>
      <c r="AM7" s="1">
        <v>64</v>
      </c>
      <c r="AN7" s="1">
        <v>64</v>
      </c>
      <c r="AO7" s="1">
        <v>64</v>
      </c>
      <c r="AP7" s="1">
        <v>64</v>
      </c>
      <c r="AQ7" s="1">
        <v>64</v>
      </c>
      <c r="AR7" s="1">
        <v>64</v>
      </c>
      <c r="AS7" s="1">
        <v>64</v>
      </c>
      <c r="AT7" s="1">
        <v>64</v>
      </c>
      <c r="AU7" s="1">
        <v>64</v>
      </c>
      <c r="AV7" s="1">
        <v>64</v>
      </c>
      <c r="AW7" s="1">
        <v>64</v>
      </c>
      <c r="AX7" s="1">
        <v>64</v>
      </c>
      <c r="AY7" s="1">
        <v>64</v>
      </c>
      <c r="AZ7" s="1">
        <v>64</v>
      </c>
      <c r="BA7" s="1">
        <v>64</v>
      </c>
      <c r="BB7" s="1">
        <v>64</v>
      </c>
      <c r="BC7" s="1">
        <v>64</v>
      </c>
      <c r="BD7" s="1">
        <v>64</v>
      </c>
      <c r="BE7" s="1">
        <v>64</v>
      </c>
      <c r="BF7" s="1">
        <v>64</v>
      </c>
      <c r="BG7" s="1">
        <v>64</v>
      </c>
      <c r="BH7" s="1">
        <v>64</v>
      </c>
      <c r="BI7" s="1">
        <v>64</v>
      </c>
      <c r="BJ7" s="1">
        <v>64</v>
      </c>
      <c r="BK7" s="1">
        <v>64</v>
      </c>
      <c r="BL7" s="1">
        <v>64</v>
      </c>
      <c r="BM7" s="1">
        <v>64</v>
      </c>
      <c r="BN7" s="1">
        <v>0</v>
      </c>
    </row>
    <row r="8" spans="1:66">
      <c r="A8" s="1">
        <v>0</v>
      </c>
      <c r="B8" s="1">
        <v>128</v>
      </c>
      <c r="C8" s="1">
        <v>128</v>
      </c>
      <c r="D8" s="1">
        <v>128</v>
      </c>
      <c r="E8" s="1">
        <v>128</v>
      </c>
      <c r="F8" s="1">
        <v>128</v>
      </c>
      <c r="G8" s="1">
        <v>128</v>
      </c>
      <c r="H8" s="1">
        <v>128</v>
      </c>
      <c r="I8" s="1">
        <v>128</v>
      </c>
      <c r="J8" s="1">
        <v>128</v>
      </c>
      <c r="K8" s="1">
        <v>128</v>
      </c>
      <c r="L8" s="1">
        <v>128</v>
      </c>
      <c r="M8" s="1">
        <v>128</v>
      </c>
      <c r="N8" s="1">
        <v>128</v>
      </c>
      <c r="O8" s="1">
        <v>128</v>
      </c>
      <c r="P8" s="1">
        <v>128</v>
      </c>
      <c r="Q8" s="1">
        <v>128</v>
      </c>
      <c r="R8" s="1">
        <v>128</v>
      </c>
      <c r="S8" s="1">
        <v>128</v>
      </c>
      <c r="T8" s="1">
        <v>128</v>
      </c>
      <c r="U8" s="1">
        <v>128</v>
      </c>
      <c r="V8" s="1">
        <v>128</v>
      </c>
      <c r="W8" s="1">
        <v>128</v>
      </c>
      <c r="X8" s="1">
        <v>128</v>
      </c>
      <c r="Y8" s="1">
        <v>128</v>
      </c>
      <c r="Z8" s="1">
        <v>128</v>
      </c>
      <c r="AA8" s="1">
        <v>128</v>
      </c>
      <c r="AB8" s="1">
        <v>128</v>
      </c>
      <c r="AC8" s="1">
        <v>128</v>
      </c>
      <c r="AD8" s="1">
        <v>128</v>
      </c>
      <c r="AE8" s="1">
        <v>128</v>
      </c>
      <c r="AF8" s="1">
        <v>128</v>
      </c>
      <c r="AG8" s="1">
        <v>128</v>
      </c>
      <c r="AH8" s="1">
        <v>128</v>
      </c>
      <c r="AI8" s="1">
        <v>128</v>
      </c>
      <c r="AJ8" s="1">
        <v>128</v>
      </c>
      <c r="AK8" s="1">
        <v>128</v>
      </c>
      <c r="AL8" s="1">
        <v>128</v>
      </c>
      <c r="AM8" s="1">
        <v>128</v>
      </c>
      <c r="AN8" s="1">
        <v>128</v>
      </c>
      <c r="AO8" s="1">
        <v>128</v>
      </c>
      <c r="AP8" s="1">
        <v>128</v>
      </c>
      <c r="AQ8" s="1">
        <v>128</v>
      </c>
      <c r="AR8" s="1">
        <v>128</v>
      </c>
      <c r="AS8" s="1">
        <v>128</v>
      </c>
      <c r="AT8" s="1">
        <v>128</v>
      </c>
      <c r="AU8" s="1">
        <v>128</v>
      </c>
      <c r="AV8" s="1">
        <v>128</v>
      </c>
      <c r="AW8" s="1">
        <v>128</v>
      </c>
      <c r="AX8" s="1">
        <v>128</v>
      </c>
      <c r="AY8" s="1">
        <v>128</v>
      </c>
      <c r="AZ8" s="1">
        <v>128</v>
      </c>
      <c r="BA8" s="1">
        <v>128</v>
      </c>
      <c r="BB8" s="1">
        <v>128</v>
      </c>
      <c r="BC8" s="1">
        <v>128</v>
      </c>
      <c r="BD8" s="1">
        <v>128</v>
      </c>
      <c r="BE8" s="1">
        <v>128</v>
      </c>
      <c r="BF8" s="1">
        <v>128</v>
      </c>
      <c r="BG8" s="1">
        <v>128</v>
      </c>
      <c r="BH8" s="1">
        <v>128</v>
      </c>
      <c r="BI8" s="1">
        <v>128</v>
      </c>
      <c r="BJ8" s="1">
        <v>128</v>
      </c>
      <c r="BK8" s="1">
        <v>128</v>
      </c>
      <c r="BL8" s="1">
        <v>128</v>
      </c>
      <c r="BM8" s="1">
        <v>128</v>
      </c>
      <c r="BN8" s="1">
        <v>0</v>
      </c>
    </row>
    <row r="9" spans="1:66">
      <c r="A9" s="1">
        <v>0</v>
      </c>
      <c r="B9" s="1">
        <v>128</v>
      </c>
      <c r="C9" s="1">
        <v>128</v>
      </c>
      <c r="D9" s="1">
        <v>128</v>
      </c>
      <c r="E9" s="1">
        <v>128</v>
      </c>
      <c r="F9" s="1">
        <v>128</v>
      </c>
      <c r="G9" s="1">
        <v>128</v>
      </c>
      <c r="H9" s="1">
        <v>128</v>
      </c>
      <c r="I9" s="1">
        <v>128</v>
      </c>
      <c r="J9" s="1">
        <v>128</v>
      </c>
      <c r="K9" s="1">
        <v>128</v>
      </c>
      <c r="L9" s="1">
        <v>128</v>
      </c>
      <c r="M9" s="1">
        <v>128</v>
      </c>
      <c r="N9" s="1">
        <v>128</v>
      </c>
      <c r="O9" s="1">
        <v>128</v>
      </c>
      <c r="P9" s="1">
        <v>128</v>
      </c>
      <c r="Q9" s="1">
        <v>128</v>
      </c>
      <c r="R9" s="1">
        <v>128</v>
      </c>
      <c r="S9" s="1">
        <v>128</v>
      </c>
      <c r="T9" s="1">
        <v>128</v>
      </c>
      <c r="U9" s="1">
        <v>128</v>
      </c>
      <c r="V9" s="1">
        <v>128</v>
      </c>
      <c r="W9" s="1">
        <v>128</v>
      </c>
      <c r="X9" s="1">
        <v>128</v>
      </c>
      <c r="Y9" s="1">
        <v>128</v>
      </c>
      <c r="Z9" s="1">
        <v>128</v>
      </c>
      <c r="AA9" s="1">
        <v>128</v>
      </c>
      <c r="AB9" s="1">
        <v>128</v>
      </c>
      <c r="AC9" s="1">
        <v>128</v>
      </c>
      <c r="AD9" s="1">
        <v>128</v>
      </c>
      <c r="AE9" s="1">
        <v>128</v>
      </c>
      <c r="AF9" s="1">
        <v>128</v>
      </c>
      <c r="AG9" s="1">
        <v>128</v>
      </c>
      <c r="AH9" s="1">
        <v>128</v>
      </c>
      <c r="AI9" s="1">
        <v>128</v>
      </c>
      <c r="AJ9" s="1">
        <v>128</v>
      </c>
      <c r="AK9" s="1">
        <v>128</v>
      </c>
      <c r="AL9" s="1">
        <v>128</v>
      </c>
      <c r="AM9" s="1">
        <v>128</v>
      </c>
      <c r="AN9" s="1">
        <v>128</v>
      </c>
      <c r="AO9" s="1">
        <v>128</v>
      </c>
      <c r="AP9" s="1">
        <v>128</v>
      </c>
      <c r="AQ9" s="1">
        <v>128</v>
      </c>
      <c r="AR9" s="1">
        <v>128</v>
      </c>
      <c r="AS9" s="1">
        <v>128</v>
      </c>
      <c r="AT9" s="1">
        <v>128</v>
      </c>
      <c r="AU9" s="1">
        <v>128</v>
      </c>
      <c r="AV9" s="1">
        <v>128</v>
      </c>
      <c r="AW9" s="1">
        <v>128</v>
      </c>
      <c r="AX9" s="1">
        <v>128</v>
      </c>
      <c r="AY9" s="1">
        <v>128</v>
      </c>
      <c r="AZ9" s="1">
        <v>128</v>
      </c>
      <c r="BA9" s="1">
        <v>128</v>
      </c>
      <c r="BB9" s="1">
        <v>128</v>
      </c>
      <c r="BC9" s="1">
        <v>128</v>
      </c>
      <c r="BD9" s="1">
        <v>128</v>
      </c>
      <c r="BE9" s="1">
        <v>128</v>
      </c>
      <c r="BF9" s="1">
        <v>128</v>
      </c>
      <c r="BG9" s="1">
        <v>128</v>
      </c>
      <c r="BH9" s="1">
        <v>128</v>
      </c>
      <c r="BI9" s="1">
        <v>128</v>
      </c>
      <c r="BJ9" s="1">
        <v>128</v>
      </c>
      <c r="BK9" s="1">
        <v>128</v>
      </c>
      <c r="BL9" s="1">
        <v>128</v>
      </c>
      <c r="BM9" s="1">
        <v>128</v>
      </c>
      <c r="BN9" s="1">
        <v>0</v>
      </c>
    </row>
    <row r="10" spans="1:66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3" spans="1:66">
      <c r="G13" t="s">
        <v>1</v>
      </c>
    </row>
    <row r="14" spans="1:66">
      <c r="F14" t="s">
        <v>2</v>
      </c>
      <c r="G14" t="s">
        <v>3</v>
      </c>
      <c r="H14" t="s">
        <v>4</v>
      </c>
    </row>
    <row r="15" spans="1:66">
      <c r="F15">
        <v>1</v>
      </c>
      <c r="G15">
        <f>COUNT(B5:C5)</f>
        <v>2</v>
      </c>
      <c r="H15" t="s">
        <v>5</v>
      </c>
    </row>
    <row r="16" spans="1:66">
      <c r="F16">
        <v>2</v>
      </c>
      <c r="G16">
        <f>COUNT(D5:E5)</f>
        <v>2</v>
      </c>
      <c r="H16" t="s">
        <v>6</v>
      </c>
    </row>
    <row r="17" spans="6:8">
      <c r="F17">
        <v>4</v>
      </c>
      <c r="G17">
        <f>COUNT(F5:I5)</f>
        <v>4</v>
      </c>
      <c r="H17" t="s">
        <v>7</v>
      </c>
    </row>
    <row r="18" spans="6:8">
      <c r="F18">
        <v>8</v>
      </c>
      <c r="G18">
        <f>COUNT(J5:Q5)</f>
        <v>8</v>
      </c>
      <c r="H18" t="s">
        <v>8</v>
      </c>
    </row>
    <row r="19" spans="6:8">
      <c r="F19">
        <v>16</v>
      </c>
      <c r="G19">
        <f>COUNT(R5:AG5)</f>
        <v>16</v>
      </c>
      <c r="H19" t="s">
        <v>17</v>
      </c>
    </row>
    <row r="20" spans="6:8">
      <c r="F20">
        <v>32</v>
      </c>
      <c r="G20">
        <f>COUNT(AH5:BM5)</f>
        <v>32</v>
      </c>
      <c r="H20" t="s">
        <v>9</v>
      </c>
    </row>
    <row r="21" spans="6:8">
      <c r="F21">
        <v>32.1</v>
      </c>
      <c r="G21">
        <f>COUNT(B6:AG6)</f>
        <v>32</v>
      </c>
      <c r="H21" t="s">
        <v>10</v>
      </c>
    </row>
    <row r="22" spans="6:8">
      <c r="F22">
        <v>64</v>
      </c>
      <c r="G22">
        <f>COUNT(B7:BM7)</f>
        <v>64</v>
      </c>
      <c r="H22" t="s">
        <v>11</v>
      </c>
    </row>
    <row r="23" spans="6:8">
      <c r="F23">
        <v>128</v>
      </c>
      <c r="G23">
        <f>COUNT(B8:BM9)</f>
        <v>128</v>
      </c>
      <c r="H23" t="s">
        <v>12</v>
      </c>
    </row>
    <row r="24" spans="6:8">
      <c r="F24" t="s">
        <v>13</v>
      </c>
      <c r="G24">
        <f>COUNT(B7:BM9,B5:BM5,B6:AG6)</f>
        <v>288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23"/>
  <sheetViews>
    <sheetView workbookViewId="0">
      <selection activeCell="G32" sqref="G32"/>
    </sheetView>
  </sheetViews>
  <sheetFormatPr defaultColWidth="4.58333333333333" defaultRowHeight="14.25"/>
  <cols>
    <col min="23" max="23" width="50.25" customWidth="1"/>
  </cols>
  <sheetData>
    <row r="2" spans="1:24">
      <c r="B2" t="s">
        <v>18</v>
      </c>
    </row>
    <row r="4" spans="1:24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24">
      <c r="A5" s="1">
        <v>0</v>
      </c>
      <c r="B5" s="1">
        <v>1</v>
      </c>
      <c r="C5" s="1">
        <v>1</v>
      </c>
      <c r="D5" s="1">
        <v>2</v>
      </c>
      <c r="E5" s="1">
        <v>2</v>
      </c>
      <c r="F5" s="1">
        <v>4</v>
      </c>
      <c r="G5" s="1">
        <v>4</v>
      </c>
      <c r="H5" s="1">
        <v>4</v>
      </c>
      <c r="I5" s="1">
        <v>4</v>
      </c>
      <c r="J5" s="1">
        <v>8</v>
      </c>
      <c r="K5" s="1">
        <v>8</v>
      </c>
      <c r="L5" s="1">
        <v>8</v>
      </c>
      <c r="M5" s="1">
        <v>8</v>
      </c>
      <c r="N5" s="1">
        <v>8</v>
      </c>
      <c r="O5" s="1">
        <v>8</v>
      </c>
      <c r="P5" s="1">
        <v>8</v>
      </c>
      <c r="Q5" s="1">
        <v>8</v>
      </c>
      <c r="R5" s="1">
        <v>0</v>
      </c>
    </row>
    <row r="6" spans="1:24">
      <c r="A6" s="1">
        <v>0</v>
      </c>
      <c r="B6" s="1">
        <v>16</v>
      </c>
      <c r="C6" s="1">
        <v>16</v>
      </c>
      <c r="D6" s="1">
        <v>16</v>
      </c>
      <c r="E6" s="1">
        <v>16</v>
      </c>
      <c r="F6" s="1">
        <v>16</v>
      </c>
      <c r="G6" s="1">
        <v>16</v>
      </c>
      <c r="H6" s="1">
        <v>16</v>
      </c>
      <c r="I6" s="1">
        <v>16</v>
      </c>
      <c r="J6" s="1">
        <v>16</v>
      </c>
      <c r="K6" s="1">
        <v>16</v>
      </c>
      <c r="L6" s="1">
        <v>16</v>
      </c>
      <c r="M6" s="1">
        <v>16</v>
      </c>
      <c r="N6" s="1">
        <v>16</v>
      </c>
      <c r="O6" s="1">
        <v>16</v>
      </c>
      <c r="P6" s="1">
        <v>16</v>
      </c>
      <c r="Q6" s="1">
        <v>16</v>
      </c>
      <c r="R6" s="1">
        <v>0</v>
      </c>
    </row>
    <row r="7" spans="1:24">
      <c r="A7" s="1">
        <v>0</v>
      </c>
      <c r="B7" s="1">
        <v>32</v>
      </c>
      <c r="C7" s="1">
        <v>32</v>
      </c>
      <c r="D7" s="1">
        <v>32</v>
      </c>
      <c r="E7" s="1">
        <v>32</v>
      </c>
      <c r="F7" s="1">
        <v>32</v>
      </c>
      <c r="G7" s="1">
        <v>32</v>
      </c>
      <c r="H7" s="1">
        <v>32</v>
      </c>
      <c r="I7" s="1">
        <v>32</v>
      </c>
      <c r="J7" s="1">
        <v>32</v>
      </c>
      <c r="K7" s="1">
        <v>32</v>
      </c>
      <c r="L7" s="1">
        <v>32</v>
      </c>
      <c r="M7" s="1">
        <v>32</v>
      </c>
      <c r="N7" s="1">
        <v>32</v>
      </c>
      <c r="O7" s="1">
        <v>32</v>
      </c>
      <c r="P7" s="1">
        <v>32</v>
      </c>
      <c r="Q7" s="1">
        <v>32</v>
      </c>
      <c r="R7" s="1">
        <v>0</v>
      </c>
    </row>
    <row r="8" spans="1:24">
      <c r="A8" s="1">
        <v>0</v>
      </c>
      <c r="B8" s="1">
        <v>32</v>
      </c>
      <c r="C8" s="1">
        <v>32</v>
      </c>
      <c r="D8" s="1">
        <v>32</v>
      </c>
      <c r="E8" s="1">
        <v>32</v>
      </c>
      <c r="F8" s="1">
        <v>32</v>
      </c>
      <c r="G8" s="1">
        <v>32</v>
      </c>
      <c r="H8" s="1">
        <v>32</v>
      </c>
      <c r="I8" s="1">
        <v>32</v>
      </c>
      <c r="J8" s="1">
        <v>32</v>
      </c>
      <c r="K8" s="1">
        <v>32</v>
      </c>
      <c r="L8" s="1">
        <v>32</v>
      </c>
      <c r="M8" s="1">
        <v>32</v>
      </c>
      <c r="N8" s="1">
        <v>32</v>
      </c>
      <c r="O8" s="1">
        <v>32</v>
      </c>
      <c r="P8" s="1">
        <v>32</v>
      </c>
      <c r="Q8" s="1">
        <v>32</v>
      </c>
      <c r="R8" s="1">
        <v>0</v>
      </c>
    </row>
    <row r="9" spans="1:24">
      <c r="A9" s="1">
        <v>0</v>
      </c>
      <c r="B9" s="1">
        <v>32.1</v>
      </c>
      <c r="C9" s="1">
        <v>32.1</v>
      </c>
      <c r="D9" s="1">
        <v>32.1</v>
      </c>
      <c r="E9" s="1">
        <v>32.1</v>
      </c>
      <c r="F9" s="1">
        <v>32.1</v>
      </c>
      <c r="G9" s="1">
        <v>32.1</v>
      </c>
      <c r="H9" s="1">
        <v>32.1</v>
      </c>
      <c r="I9" s="1">
        <v>32.1</v>
      </c>
      <c r="J9" s="1">
        <v>32.1</v>
      </c>
      <c r="K9" s="1">
        <v>32.1</v>
      </c>
      <c r="L9" s="1">
        <v>32.1</v>
      </c>
      <c r="M9" s="1">
        <v>32.1</v>
      </c>
      <c r="N9" s="1">
        <v>32.1</v>
      </c>
      <c r="O9" s="1">
        <v>32.1</v>
      </c>
      <c r="P9" s="1">
        <v>32.1</v>
      </c>
      <c r="Q9" s="1">
        <v>32.1</v>
      </c>
      <c r="R9" s="1">
        <v>0</v>
      </c>
    </row>
    <row r="10" spans="1:24">
      <c r="A10" s="1">
        <v>0</v>
      </c>
      <c r="B10" s="1">
        <v>32.1</v>
      </c>
      <c r="C10" s="1">
        <v>32.1</v>
      </c>
      <c r="D10" s="1">
        <v>32.1</v>
      </c>
      <c r="E10" s="1">
        <v>32.1</v>
      </c>
      <c r="F10" s="1">
        <v>32.1</v>
      </c>
      <c r="G10" s="1">
        <v>32.1</v>
      </c>
      <c r="H10" s="1">
        <v>32.1</v>
      </c>
      <c r="I10" s="1">
        <v>32.1</v>
      </c>
      <c r="J10" s="1">
        <v>32.1</v>
      </c>
      <c r="K10" s="1">
        <v>32.1</v>
      </c>
      <c r="L10" s="1">
        <v>32.1</v>
      </c>
      <c r="M10" s="1">
        <v>32.1</v>
      </c>
      <c r="N10" s="1">
        <v>32.1</v>
      </c>
      <c r="O10" s="1">
        <v>32.1</v>
      </c>
      <c r="P10" s="1">
        <v>32.1</v>
      </c>
      <c r="Q10" s="1">
        <v>32.1</v>
      </c>
      <c r="R10" s="1">
        <v>0</v>
      </c>
      <c r="W10" t="s">
        <v>1</v>
      </c>
    </row>
    <row r="11" spans="1:24">
      <c r="A11" s="1">
        <v>0</v>
      </c>
      <c r="B11" s="1">
        <v>64</v>
      </c>
      <c r="C11" s="1">
        <v>64</v>
      </c>
      <c r="D11" s="1">
        <v>64</v>
      </c>
      <c r="E11" s="1">
        <v>64</v>
      </c>
      <c r="F11" s="1">
        <v>64</v>
      </c>
      <c r="G11" s="1">
        <v>64</v>
      </c>
      <c r="H11" s="1">
        <v>64</v>
      </c>
      <c r="I11" s="1">
        <v>64</v>
      </c>
      <c r="J11" s="1">
        <v>64</v>
      </c>
      <c r="K11" s="1">
        <v>64</v>
      </c>
      <c r="L11" s="1">
        <v>64</v>
      </c>
      <c r="M11" s="1">
        <v>64</v>
      </c>
      <c r="N11" s="1">
        <v>64</v>
      </c>
      <c r="O11" s="1">
        <v>64</v>
      </c>
      <c r="P11" s="1">
        <v>64</v>
      </c>
      <c r="Q11" s="1">
        <v>64</v>
      </c>
      <c r="R11" s="1">
        <v>0</v>
      </c>
      <c r="V11" t="s">
        <v>2</v>
      </c>
      <c r="W11" t="s">
        <v>3</v>
      </c>
      <c r="X11" t="s">
        <v>4</v>
      </c>
    </row>
    <row r="12" spans="1:24">
      <c r="A12" s="1">
        <v>0</v>
      </c>
      <c r="B12" s="1">
        <v>64</v>
      </c>
      <c r="C12" s="1">
        <v>64</v>
      </c>
      <c r="D12" s="1">
        <v>64</v>
      </c>
      <c r="E12" s="1">
        <v>64</v>
      </c>
      <c r="F12" s="1">
        <v>64</v>
      </c>
      <c r="G12" s="1">
        <v>64</v>
      </c>
      <c r="H12" s="1">
        <v>64</v>
      </c>
      <c r="I12" s="1">
        <v>64</v>
      </c>
      <c r="J12" s="1">
        <v>64</v>
      </c>
      <c r="K12" s="1">
        <v>64</v>
      </c>
      <c r="L12" s="1">
        <v>64</v>
      </c>
      <c r="M12" s="1">
        <v>64</v>
      </c>
      <c r="N12" s="1">
        <v>64</v>
      </c>
      <c r="O12" s="1">
        <v>64</v>
      </c>
      <c r="P12" s="1">
        <v>64</v>
      </c>
      <c r="Q12" s="1">
        <v>64</v>
      </c>
      <c r="R12" s="1">
        <v>0</v>
      </c>
      <c r="V12">
        <v>1</v>
      </c>
      <c r="W12">
        <f>COUNT(B5:C5)</f>
        <v>2</v>
      </c>
      <c r="X12" t="s">
        <v>5</v>
      </c>
    </row>
    <row r="13" spans="1:24">
      <c r="A13" s="1">
        <v>0</v>
      </c>
      <c r="B13" s="1">
        <v>64</v>
      </c>
      <c r="C13" s="1">
        <v>64</v>
      </c>
      <c r="D13" s="1">
        <v>64</v>
      </c>
      <c r="E13" s="1">
        <v>64</v>
      </c>
      <c r="F13" s="1">
        <v>64</v>
      </c>
      <c r="G13" s="1">
        <v>64</v>
      </c>
      <c r="H13" s="1">
        <v>64</v>
      </c>
      <c r="I13" s="1">
        <v>64</v>
      </c>
      <c r="J13" s="1">
        <v>64</v>
      </c>
      <c r="K13" s="1">
        <v>64</v>
      </c>
      <c r="L13" s="1">
        <v>64</v>
      </c>
      <c r="M13" s="1">
        <v>64</v>
      </c>
      <c r="N13" s="1">
        <v>64</v>
      </c>
      <c r="O13" s="1">
        <v>64</v>
      </c>
      <c r="P13" s="1">
        <v>64</v>
      </c>
      <c r="Q13" s="1">
        <v>64</v>
      </c>
      <c r="R13" s="1">
        <v>0</v>
      </c>
      <c r="V13">
        <v>2</v>
      </c>
      <c r="W13">
        <f>COUNT(D5:E5)</f>
        <v>2</v>
      </c>
      <c r="X13" t="s">
        <v>6</v>
      </c>
    </row>
    <row r="14" spans="1:24">
      <c r="A14" s="1">
        <v>0</v>
      </c>
      <c r="B14" s="1">
        <v>64</v>
      </c>
      <c r="C14" s="1">
        <v>64</v>
      </c>
      <c r="D14" s="1">
        <v>64</v>
      </c>
      <c r="E14" s="1">
        <v>64</v>
      </c>
      <c r="F14" s="1">
        <v>64</v>
      </c>
      <c r="G14" s="1">
        <v>64</v>
      </c>
      <c r="H14" s="1">
        <v>64</v>
      </c>
      <c r="I14" s="1">
        <v>64</v>
      </c>
      <c r="J14" s="1">
        <v>64</v>
      </c>
      <c r="K14" s="1">
        <v>64</v>
      </c>
      <c r="L14" s="1">
        <v>64</v>
      </c>
      <c r="M14" s="1">
        <v>64</v>
      </c>
      <c r="N14" s="1">
        <v>64</v>
      </c>
      <c r="O14" s="1">
        <v>64</v>
      </c>
      <c r="P14" s="1">
        <v>64</v>
      </c>
      <c r="Q14" s="1">
        <v>64</v>
      </c>
      <c r="R14" s="1">
        <v>0</v>
      </c>
      <c r="V14">
        <v>4</v>
      </c>
      <c r="W14">
        <f>COUNT(F5:I5)</f>
        <v>4</v>
      </c>
      <c r="X14" t="s">
        <v>7</v>
      </c>
    </row>
    <row r="15" spans="1:24">
      <c r="A15" s="1">
        <v>0</v>
      </c>
      <c r="B15" s="1">
        <v>128</v>
      </c>
      <c r="C15" s="1">
        <v>128</v>
      </c>
      <c r="D15" s="1">
        <v>128</v>
      </c>
      <c r="E15" s="1">
        <v>128</v>
      </c>
      <c r="F15" s="1">
        <v>128</v>
      </c>
      <c r="G15" s="1">
        <v>128</v>
      </c>
      <c r="H15" s="1">
        <v>128</v>
      </c>
      <c r="I15" s="1">
        <v>128</v>
      </c>
      <c r="J15" s="1">
        <v>128</v>
      </c>
      <c r="K15" s="1">
        <v>128</v>
      </c>
      <c r="L15" s="1">
        <v>128</v>
      </c>
      <c r="M15" s="1">
        <v>128</v>
      </c>
      <c r="N15" s="1">
        <v>128</v>
      </c>
      <c r="O15" s="1">
        <v>128</v>
      </c>
      <c r="P15" s="1">
        <v>128</v>
      </c>
      <c r="Q15" s="1">
        <v>128</v>
      </c>
      <c r="R15" s="1">
        <v>0</v>
      </c>
      <c r="V15">
        <v>8</v>
      </c>
      <c r="W15">
        <f>COUNT(J5:Q5)</f>
        <v>8</v>
      </c>
      <c r="X15" t="s">
        <v>8</v>
      </c>
    </row>
    <row r="16" spans="1:24">
      <c r="A16" s="1">
        <v>0</v>
      </c>
      <c r="B16" s="1">
        <v>128</v>
      </c>
      <c r="C16" s="1">
        <v>128</v>
      </c>
      <c r="D16" s="1">
        <v>128</v>
      </c>
      <c r="E16" s="1">
        <v>128</v>
      </c>
      <c r="F16" s="1">
        <v>128</v>
      </c>
      <c r="G16" s="1">
        <v>128</v>
      </c>
      <c r="H16" s="1">
        <v>128</v>
      </c>
      <c r="I16" s="1">
        <v>128</v>
      </c>
      <c r="J16" s="1">
        <v>128</v>
      </c>
      <c r="K16" s="1">
        <v>128</v>
      </c>
      <c r="L16" s="1">
        <v>128</v>
      </c>
      <c r="M16" s="1">
        <v>128</v>
      </c>
      <c r="N16" s="1">
        <v>128</v>
      </c>
      <c r="O16" s="1">
        <v>128</v>
      </c>
      <c r="P16" s="1">
        <v>128</v>
      </c>
      <c r="Q16" s="1">
        <v>128</v>
      </c>
      <c r="R16" s="1">
        <v>0</v>
      </c>
      <c r="V16">
        <v>16</v>
      </c>
      <c r="W16">
        <f>COUNT(B6:Q6)</f>
        <v>16</v>
      </c>
      <c r="X16" t="s">
        <v>17</v>
      </c>
    </row>
    <row r="17" spans="1:24">
      <c r="A17" s="1">
        <v>0</v>
      </c>
      <c r="B17" s="1">
        <v>128</v>
      </c>
      <c r="C17" s="1">
        <v>128</v>
      </c>
      <c r="D17" s="1">
        <v>128</v>
      </c>
      <c r="E17" s="1">
        <v>128</v>
      </c>
      <c r="F17" s="1">
        <v>128</v>
      </c>
      <c r="G17" s="1">
        <v>128</v>
      </c>
      <c r="H17" s="1">
        <v>128</v>
      </c>
      <c r="I17" s="1">
        <v>128</v>
      </c>
      <c r="J17" s="1">
        <v>128</v>
      </c>
      <c r="K17" s="1">
        <v>128</v>
      </c>
      <c r="L17" s="1">
        <v>128</v>
      </c>
      <c r="M17" s="1">
        <v>128</v>
      </c>
      <c r="N17" s="1">
        <v>128</v>
      </c>
      <c r="O17" s="1">
        <v>128</v>
      </c>
      <c r="P17" s="1">
        <v>128</v>
      </c>
      <c r="Q17" s="1">
        <v>128</v>
      </c>
      <c r="R17" s="1">
        <v>0</v>
      </c>
      <c r="V17">
        <v>32</v>
      </c>
      <c r="W17">
        <f>COUNT(B7:Q8)</f>
        <v>32</v>
      </c>
      <c r="X17" t="s">
        <v>9</v>
      </c>
    </row>
    <row r="18" spans="1:24">
      <c r="A18" s="1">
        <v>0</v>
      </c>
      <c r="B18" s="1">
        <v>128</v>
      </c>
      <c r="C18" s="1">
        <v>128</v>
      </c>
      <c r="D18" s="1">
        <v>128</v>
      </c>
      <c r="E18" s="1">
        <v>128</v>
      </c>
      <c r="F18" s="1">
        <v>128</v>
      </c>
      <c r="G18" s="1">
        <v>128</v>
      </c>
      <c r="H18" s="1">
        <v>128</v>
      </c>
      <c r="I18" s="1">
        <v>128</v>
      </c>
      <c r="J18" s="1">
        <v>128</v>
      </c>
      <c r="K18" s="1">
        <v>128</v>
      </c>
      <c r="L18" s="1">
        <v>128</v>
      </c>
      <c r="M18" s="1">
        <v>128</v>
      </c>
      <c r="N18" s="1">
        <v>128</v>
      </c>
      <c r="O18" s="1">
        <v>128</v>
      </c>
      <c r="P18" s="1">
        <v>128</v>
      </c>
      <c r="Q18" s="1">
        <v>128</v>
      </c>
      <c r="R18" s="1">
        <v>0</v>
      </c>
      <c r="V18">
        <v>32.1</v>
      </c>
      <c r="W18">
        <f>COUNT(B9:Q10)</f>
        <v>32</v>
      </c>
      <c r="X18" t="s">
        <v>10</v>
      </c>
    </row>
    <row r="19" spans="1:24">
      <c r="A19" s="1">
        <v>0</v>
      </c>
      <c r="B19" s="1">
        <v>128</v>
      </c>
      <c r="C19" s="1">
        <v>128</v>
      </c>
      <c r="D19" s="1">
        <v>128</v>
      </c>
      <c r="E19" s="1">
        <v>128</v>
      </c>
      <c r="F19" s="1">
        <v>128</v>
      </c>
      <c r="G19" s="1">
        <v>128</v>
      </c>
      <c r="H19" s="1">
        <v>128</v>
      </c>
      <c r="I19" s="1">
        <v>128</v>
      </c>
      <c r="J19" s="1">
        <v>128</v>
      </c>
      <c r="K19" s="1">
        <v>128</v>
      </c>
      <c r="L19" s="1">
        <v>128</v>
      </c>
      <c r="M19" s="1">
        <v>128</v>
      </c>
      <c r="N19" s="1">
        <v>128</v>
      </c>
      <c r="O19" s="1">
        <v>128</v>
      </c>
      <c r="P19" s="1">
        <v>128</v>
      </c>
      <c r="Q19" s="1">
        <v>128</v>
      </c>
      <c r="R19" s="1">
        <v>0</v>
      </c>
      <c r="V19">
        <v>64</v>
      </c>
      <c r="W19">
        <f>COUNT(B11:Q14)</f>
        <v>64</v>
      </c>
      <c r="X19" t="s">
        <v>11</v>
      </c>
    </row>
    <row r="20" spans="1:24">
      <c r="A20" s="1">
        <v>0</v>
      </c>
      <c r="B20" s="1">
        <v>128</v>
      </c>
      <c r="C20" s="1">
        <v>128</v>
      </c>
      <c r="D20" s="1">
        <v>128</v>
      </c>
      <c r="E20" s="1">
        <v>128</v>
      </c>
      <c r="F20" s="1">
        <v>128</v>
      </c>
      <c r="G20" s="1">
        <v>128</v>
      </c>
      <c r="H20" s="1">
        <v>128</v>
      </c>
      <c r="I20" s="1">
        <v>128</v>
      </c>
      <c r="J20" s="1">
        <v>128</v>
      </c>
      <c r="K20" s="1">
        <v>128</v>
      </c>
      <c r="L20" s="1">
        <v>128</v>
      </c>
      <c r="M20" s="1">
        <v>128</v>
      </c>
      <c r="N20" s="1">
        <v>128</v>
      </c>
      <c r="O20" s="1">
        <v>128</v>
      </c>
      <c r="P20" s="1">
        <v>128</v>
      </c>
      <c r="Q20" s="1">
        <v>128</v>
      </c>
      <c r="R20" s="1">
        <v>0</v>
      </c>
      <c r="V20">
        <v>128</v>
      </c>
      <c r="W20">
        <f>COUNT(B15:Q22)</f>
        <v>128</v>
      </c>
      <c r="X20" t="s">
        <v>12</v>
      </c>
    </row>
    <row r="21" spans="1:24">
      <c r="A21" s="1">
        <v>0</v>
      </c>
      <c r="B21" s="1">
        <v>128</v>
      </c>
      <c r="C21" s="1">
        <v>128</v>
      </c>
      <c r="D21" s="1">
        <v>128</v>
      </c>
      <c r="E21" s="1">
        <v>128</v>
      </c>
      <c r="F21" s="1">
        <v>128</v>
      </c>
      <c r="G21" s="1">
        <v>128</v>
      </c>
      <c r="H21" s="1">
        <v>128</v>
      </c>
      <c r="I21" s="1">
        <v>128</v>
      </c>
      <c r="J21" s="1">
        <v>128</v>
      </c>
      <c r="K21" s="1">
        <v>128</v>
      </c>
      <c r="L21" s="1">
        <v>128</v>
      </c>
      <c r="M21" s="1">
        <v>128</v>
      </c>
      <c r="N21" s="1">
        <v>128</v>
      </c>
      <c r="O21" s="1">
        <v>128</v>
      </c>
      <c r="P21" s="1">
        <v>128</v>
      </c>
      <c r="Q21" s="1">
        <v>128</v>
      </c>
      <c r="R21" s="1">
        <v>0</v>
      </c>
      <c r="V21" t="s">
        <v>13</v>
      </c>
      <c r="W21">
        <f>COUNT(B5:Q22)</f>
        <v>288</v>
      </c>
    </row>
    <row r="22" spans="1:24">
      <c r="A22" s="1">
        <v>0</v>
      </c>
      <c r="B22" s="1">
        <v>128</v>
      </c>
      <c r="C22" s="1">
        <v>128</v>
      </c>
      <c r="D22" s="1">
        <v>128</v>
      </c>
      <c r="E22" s="1">
        <v>128</v>
      </c>
      <c r="F22" s="1">
        <v>128</v>
      </c>
      <c r="G22" s="1">
        <v>128</v>
      </c>
      <c r="H22" s="1">
        <v>128</v>
      </c>
      <c r="I22" s="1">
        <v>128</v>
      </c>
      <c r="J22" s="1">
        <v>128</v>
      </c>
      <c r="K22" s="1">
        <v>128</v>
      </c>
      <c r="L22" s="1">
        <v>128</v>
      </c>
      <c r="M22" s="1">
        <v>128</v>
      </c>
      <c r="N22" s="1">
        <v>128</v>
      </c>
      <c r="O22" s="1">
        <v>128</v>
      </c>
      <c r="P22" s="1">
        <v>128</v>
      </c>
      <c r="Q22" s="1">
        <v>128</v>
      </c>
      <c r="R22" s="1">
        <v>0</v>
      </c>
    </row>
    <row r="23" spans="1:24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Q36"/>
  <sheetViews>
    <sheetView workbookViewId="0">
      <selection activeCell="Q9" sqref="Q9:Q17"/>
    </sheetView>
  </sheetViews>
  <sheetFormatPr defaultColWidth="4.58333333333333" defaultRowHeight="14.25"/>
  <cols>
    <col min="16" max="16" width="47.6666666666667" customWidth="1"/>
  </cols>
  <sheetData>
    <row r="2" spans="2:17">
      <c r="B2" t="s">
        <v>19</v>
      </c>
    </row>
    <row r="3" spans="2:17"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2:17">
      <c r="C4" s="1">
        <v>0</v>
      </c>
      <c r="D4" s="1">
        <v>8</v>
      </c>
      <c r="E4" s="1">
        <v>32</v>
      </c>
      <c r="F4" s="1">
        <v>64</v>
      </c>
      <c r="G4" s="1">
        <v>64</v>
      </c>
      <c r="H4" s="1">
        <v>128</v>
      </c>
      <c r="I4" s="1">
        <v>128</v>
      </c>
      <c r="J4" s="1">
        <v>128</v>
      </c>
      <c r="K4" s="1">
        <v>128</v>
      </c>
      <c r="L4" s="1">
        <v>0</v>
      </c>
    </row>
    <row r="5" spans="2:17">
      <c r="C5" s="1">
        <v>0</v>
      </c>
      <c r="D5" s="1">
        <v>8</v>
      </c>
      <c r="E5" s="1">
        <v>32</v>
      </c>
      <c r="F5" s="1">
        <v>64</v>
      </c>
      <c r="G5" s="1">
        <v>64</v>
      </c>
      <c r="H5" s="1">
        <v>128</v>
      </c>
      <c r="I5" s="1">
        <v>128</v>
      </c>
      <c r="J5" s="1">
        <v>128</v>
      </c>
      <c r="K5" s="1">
        <v>128</v>
      </c>
      <c r="L5" s="1">
        <v>0</v>
      </c>
    </row>
    <row r="6" spans="2:17">
      <c r="C6" s="1">
        <v>0</v>
      </c>
      <c r="D6" s="1">
        <v>8</v>
      </c>
      <c r="E6" s="1">
        <v>32</v>
      </c>
      <c r="F6" s="1">
        <v>64</v>
      </c>
      <c r="G6" s="1">
        <v>64</v>
      </c>
      <c r="H6" s="1">
        <v>128</v>
      </c>
      <c r="I6" s="1">
        <v>128</v>
      </c>
      <c r="J6" s="1">
        <v>128</v>
      </c>
      <c r="K6" s="1">
        <v>128</v>
      </c>
      <c r="L6" s="1">
        <v>0</v>
      </c>
    </row>
    <row r="7" spans="2:17">
      <c r="C7" s="1">
        <v>0</v>
      </c>
      <c r="D7" s="1">
        <v>8</v>
      </c>
      <c r="E7" s="1">
        <v>32</v>
      </c>
      <c r="F7" s="1">
        <v>64</v>
      </c>
      <c r="G7" s="1">
        <v>64</v>
      </c>
      <c r="H7" s="1">
        <v>128</v>
      </c>
      <c r="I7" s="1">
        <v>128</v>
      </c>
      <c r="J7" s="1">
        <v>128</v>
      </c>
      <c r="K7" s="1">
        <v>128</v>
      </c>
      <c r="L7" s="1">
        <v>0</v>
      </c>
    </row>
    <row r="8" ht="17.5" customHeight="1" spans="2:17">
      <c r="C8" s="1">
        <v>0</v>
      </c>
      <c r="D8" s="1">
        <v>8</v>
      </c>
      <c r="E8" s="1">
        <v>32</v>
      </c>
      <c r="F8" s="1">
        <v>64</v>
      </c>
      <c r="G8" s="1">
        <v>64</v>
      </c>
      <c r="H8" s="1">
        <v>128</v>
      </c>
      <c r="I8" s="1">
        <v>128</v>
      </c>
      <c r="J8" s="1">
        <v>128</v>
      </c>
      <c r="K8" s="1">
        <v>128</v>
      </c>
      <c r="L8" s="1">
        <v>0</v>
      </c>
      <c r="P8" s="4" t="s">
        <v>20</v>
      </c>
    </row>
    <row r="9" spans="2:17">
      <c r="C9" s="1">
        <v>0</v>
      </c>
      <c r="D9" s="1">
        <v>8</v>
      </c>
      <c r="E9" s="1">
        <v>32</v>
      </c>
      <c r="F9" s="1">
        <v>64</v>
      </c>
      <c r="G9" s="1">
        <v>64</v>
      </c>
      <c r="H9" s="1">
        <v>128</v>
      </c>
      <c r="I9" s="1">
        <v>128</v>
      </c>
      <c r="J9" s="1">
        <v>128</v>
      </c>
      <c r="K9" s="1">
        <v>128</v>
      </c>
      <c r="L9" s="1">
        <v>0</v>
      </c>
      <c r="O9" t="s">
        <v>2</v>
      </c>
      <c r="P9" s="2" t="s">
        <v>3</v>
      </c>
      <c r="Q9" t="s">
        <v>4</v>
      </c>
    </row>
    <row r="10" spans="2:17">
      <c r="C10" s="1">
        <v>0</v>
      </c>
      <c r="D10" s="1">
        <v>8</v>
      </c>
      <c r="E10" s="1">
        <v>32</v>
      </c>
      <c r="F10" s="1">
        <v>64</v>
      </c>
      <c r="G10" s="1">
        <v>64</v>
      </c>
      <c r="H10" s="1">
        <v>128</v>
      </c>
      <c r="I10" s="1">
        <v>128</v>
      </c>
      <c r="J10" s="1">
        <v>128</v>
      </c>
      <c r="K10" s="1">
        <v>128</v>
      </c>
      <c r="L10" s="1">
        <v>0</v>
      </c>
      <c r="O10" s="3">
        <v>1</v>
      </c>
      <c r="P10" s="2">
        <f>COUNT(D18:D19)</f>
        <v>2</v>
      </c>
      <c r="Q10" t="s">
        <v>5</v>
      </c>
    </row>
    <row r="11" spans="2:17">
      <c r="C11" s="1">
        <v>0</v>
      </c>
      <c r="D11" s="1">
        <v>8</v>
      </c>
      <c r="E11" s="1">
        <v>32</v>
      </c>
      <c r="F11" s="1">
        <v>64</v>
      </c>
      <c r="G11" s="1">
        <v>64</v>
      </c>
      <c r="H11" s="1">
        <v>128</v>
      </c>
      <c r="I11" s="1">
        <v>128</v>
      </c>
      <c r="J11" s="1">
        <v>128</v>
      </c>
      <c r="K11" s="1">
        <v>128</v>
      </c>
      <c r="L11" s="1">
        <v>0</v>
      </c>
      <c r="O11" s="3">
        <v>2</v>
      </c>
      <c r="P11" s="2">
        <f>COUNT(D16:D17)</f>
        <v>2</v>
      </c>
      <c r="Q11" t="s">
        <v>6</v>
      </c>
    </row>
    <row r="12" spans="2:17">
      <c r="C12" s="1">
        <v>0</v>
      </c>
      <c r="D12" s="1">
        <v>4</v>
      </c>
      <c r="E12" s="1">
        <v>32</v>
      </c>
      <c r="F12" s="1">
        <v>64</v>
      </c>
      <c r="G12" s="1">
        <v>64</v>
      </c>
      <c r="H12" s="1">
        <v>128</v>
      </c>
      <c r="I12" s="1">
        <v>128</v>
      </c>
      <c r="J12" s="1">
        <v>128</v>
      </c>
      <c r="K12" s="1">
        <v>128</v>
      </c>
      <c r="L12" s="1">
        <v>0</v>
      </c>
      <c r="O12" s="3">
        <v>4</v>
      </c>
      <c r="P12" s="2">
        <f>COUNT(D12:D15)</f>
        <v>4</v>
      </c>
      <c r="Q12" t="s">
        <v>7</v>
      </c>
    </row>
    <row r="13" spans="2:17">
      <c r="C13" s="1">
        <v>0</v>
      </c>
      <c r="D13" s="1">
        <v>4</v>
      </c>
      <c r="E13" s="1">
        <v>32</v>
      </c>
      <c r="F13" s="1">
        <v>64</v>
      </c>
      <c r="G13" s="1">
        <v>64</v>
      </c>
      <c r="H13" s="1">
        <v>128</v>
      </c>
      <c r="I13" s="1">
        <v>128</v>
      </c>
      <c r="J13" s="1">
        <v>128</v>
      </c>
      <c r="K13" s="1">
        <v>128</v>
      </c>
      <c r="L13" s="1">
        <v>0</v>
      </c>
      <c r="O13" s="3">
        <v>8</v>
      </c>
      <c r="P13" s="2">
        <f>COUNT(D4:D11)</f>
        <v>8</v>
      </c>
      <c r="Q13" t="s">
        <v>8</v>
      </c>
    </row>
    <row r="14" spans="2:17">
      <c r="C14" s="1">
        <v>0</v>
      </c>
      <c r="D14" s="1">
        <v>4</v>
      </c>
      <c r="E14" s="1">
        <v>32</v>
      </c>
      <c r="F14" s="1">
        <v>64</v>
      </c>
      <c r="G14" s="1">
        <v>64</v>
      </c>
      <c r="H14" s="1">
        <v>128</v>
      </c>
      <c r="I14" s="1">
        <v>128</v>
      </c>
      <c r="J14" s="1">
        <v>128</v>
      </c>
      <c r="K14" s="1">
        <v>128</v>
      </c>
      <c r="L14" s="1">
        <v>0</v>
      </c>
      <c r="O14" s="3">
        <v>16</v>
      </c>
      <c r="P14" s="2">
        <f>COUNT(D20:D35)</f>
        <v>16</v>
      </c>
      <c r="Q14" t="s">
        <v>9</v>
      </c>
    </row>
    <row r="15" spans="2:17">
      <c r="C15" s="1">
        <v>0</v>
      </c>
      <c r="D15" s="1">
        <v>4</v>
      </c>
      <c r="E15" s="1">
        <v>32</v>
      </c>
      <c r="F15" s="1">
        <v>64</v>
      </c>
      <c r="G15" s="1">
        <v>64</v>
      </c>
      <c r="H15" s="1">
        <v>128</v>
      </c>
      <c r="I15" s="1">
        <v>128</v>
      </c>
      <c r="J15" s="1">
        <v>128</v>
      </c>
      <c r="K15" s="1">
        <v>128</v>
      </c>
      <c r="L15" s="1">
        <v>0</v>
      </c>
      <c r="O15" s="3">
        <v>32</v>
      </c>
      <c r="P15" s="2">
        <f>COUNT(E4:E35)</f>
        <v>32</v>
      </c>
      <c r="Q15" t="s">
        <v>10</v>
      </c>
    </row>
    <row r="16" spans="2:17">
      <c r="C16" s="1">
        <v>0</v>
      </c>
      <c r="D16" s="1">
        <v>2</v>
      </c>
      <c r="E16" s="1">
        <v>32</v>
      </c>
      <c r="F16" s="1">
        <v>64</v>
      </c>
      <c r="G16" s="1">
        <v>64</v>
      </c>
      <c r="H16" s="1">
        <v>128</v>
      </c>
      <c r="I16" s="1">
        <v>128</v>
      </c>
      <c r="J16" s="1">
        <v>128</v>
      </c>
      <c r="K16" s="1">
        <v>128</v>
      </c>
      <c r="L16" s="1">
        <v>0</v>
      </c>
      <c r="O16" s="3">
        <v>64</v>
      </c>
      <c r="P16" s="2">
        <f>COUNT(F4:G35)</f>
        <v>64</v>
      </c>
      <c r="Q16" t="s">
        <v>11</v>
      </c>
    </row>
    <row r="17" spans="3:17">
      <c r="C17" s="1">
        <v>0</v>
      </c>
      <c r="D17" s="1">
        <v>2</v>
      </c>
      <c r="E17" s="1">
        <v>32</v>
      </c>
      <c r="F17" s="1">
        <v>64</v>
      </c>
      <c r="G17" s="1">
        <v>64</v>
      </c>
      <c r="H17" s="1">
        <v>128</v>
      </c>
      <c r="I17" s="1">
        <v>128</v>
      </c>
      <c r="J17" s="1">
        <v>128</v>
      </c>
      <c r="K17" s="1">
        <v>128</v>
      </c>
      <c r="L17" s="1">
        <v>0</v>
      </c>
      <c r="O17" s="3">
        <v>128</v>
      </c>
      <c r="P17" s="2">
        <f>COUNT(H4:K35)</f>
        <v>128</v>
      </c>
      <c r="Q17" t="s">
        <v>12</v>
      </c>
    </row>
    <row r="18" spans="3:17">
      <c r="C18" s="1">
        <v>0</v>
      </c>
      <c r="D18" s="1">
        <v>1</v>
      </c>
      <c r="E18" s="1">
        <v>32</v>
      </c>
      <c r="F18" s="1">
        <v>64</v>
      </c>
      <c r="G18" s="1">
        <v>64</v>
      </c>
      <c r="H18" s="1">
        <v>128</v>
      </c>
      <c r="I18" s="1">
        <v>128</v>
      </c>
      <c r="J18" s="1">
        <v>128</v>
      </c>
      <c r="K18" s="1">
        <v>128</v>
      </c>
      <c r="L18" s="1">
        <v>0</v>
      </c>
    </row>
    <row r="19" spans="3:17">
      <c r="C19" s="1">
        <v>0</v>
      </c>
      <c r="D19" s="1">
        <v>1</v>
      </c>
      <c r="E19" s="1">
        <v>32</v>
      </c>
      <c r="F19" s="1">
        <v>64</v>
      </c>
      <c r="G19" s="1">
        <v>64</v>
      </c>
      <c r="H19" s="1">
        <v>128</v>
      </c>
      <c r="I19" s="1">
        <v>128</v>
      </c>
      <c r="J19" s="1">
        <v>128</v>
      </c>
      <c r="K19" s="1">
        <v>128</v>
      </c>
      <c r="L19" s="1">
        <v>0</v>
      </c>
    </row>
    <row r="20" spans="3:17">
      <c r="C20" s="1">
        <v>0</v>
      </c>
      <c r="D20" s="1">
        <v>16</v>
      </c>
      <c r="E20" s="1">
        <v>32</v>
      </c>
      <c r="F20" s="1">
        <v>64</v>
      </c>
      <c r="G20" s="1">
        <v>64</v>
      </c>
      <c r="H20" s="1">
        <v>128</v>
      </c>
      <c r="I20" s="1">
        <v>128</v>
      </c>
      <c r="J20" s="1">
        <v>128</v>
      </c>
      <c r="K20" s="1">
        <v>128</v>
      </c>
      <c r="L20" s="1">
        <v>0</v>
      </c>
    </row>
    <row r="21" spans="3:17">
      <c r="C21" s="1">
        <v>0</v>
      </c>
      <c r="D21" s="1">
        <v>16</v>
      </c>
      <c r="E21" s="1">
        <v>32</v>
      </c>
      <c r="F21" s="1">
        <v>64</v>
      </c>
      <c r="G21" s="1">
        <v>64</v>
      </c>
      <c r="H21" s="1">
        <v>128</v>
      </c>
      <c r="I21" s="1">
        <v>128</v>
      </c>
      <c r="J21" s="1">
        <v>128</v>
      </c>
      <c r="K21" s="1">
        <v>128</v>
      </c>
      <c r="L21" s="1">
        <v>0</v>
      </c>
    </row>
    <row r="22" spans="3:17">
      <c r="C22" s="1">
        <v>0</v>
      </c>
      <c r="D22" s="1">
        <v>16</v>
      </c>
      <c r="E22" s="1">
        <v>32</v>
      </c>
      <c r="F22" s="1">
        <v>64</v>
      </c>
      <c r="G22" s="1">
        <v>64</v>
      </c>
      <c r="H22" s="1">
        <v>128</v>
      </c>
      <c r="I22" s="1">
        <v>128</v>
      </c>
      <c r="J22" s="1">
        <v>128</v>
      </c>
      <c r="K22" s="1">
        <v>128</v>
      </c>
      <c r="L22" s="1">
        <v>0</v>
      </c>
    </row>
    <row r="23" spans="3:17">
      <c r="C23" s="1">
        <v>0</v>
      </c>
      <c r="D23" s="1">
        <v>16</v>
      </c>
      <c r="E23" s="1">
        <v>32</v>
      </c>
      <c r="F23" s="1">
        <v>64</v>
      </c>
      <c r="G23" s="1">
        <v>64</v>
      </c>
      <c r="H23" s="1">
        <v>128</v>
      </c>
      <c r="I23" s="1">
        <v>128</v>
      </c>
      <c r="J23" s="1">
        <v>128</v>
      </c>
      <c r="K23" s="1">
        <v>128</v>
      </c>
      <c r="L23" s="1">
        <v>0</v>
      </c>
    </row>
    <row r="24" spans="3:17">
      <c r="C24" s="1">
        <v>0</v>
      </c>
      <c r="D24" s="1">
        <v>16</v>
      </c>
      <c r="E24" s="1">
        <v>32</v>
      </c>
      <c r="F24" s="1">
        <v>64</v>
      </c>
      <c r="G24" s="1">
        <v>64</v>
      </c>
      <c r="H24" s="1">
        <v>128</v>
      </c>
      <c r="I24" s="1">
        <v>128</v>
      </c>
      <c r="J24" s="1">
        <v>128</v>
      </c>
      <c r="K24" s="1">
        <v>128</v>
      </c>
      <c r="L24" s="1">
        <v>0</v>
      </c>
    </row>
    <row r="25" spans="3:17">
      <c r="C25" s="1">
        <v>0</v>
      </c>
      <c r="D25" s="1">
        <v>16</v>
      </c>
      <c r="E25" s="1">
        <v>32</v>
      </c>
      <c r="F25" s="1">
        <v>64</v>
      </c>
      <c r="G25" s="1">
        <v>64</v>
      </c>
      <c r="H25" s="1">
        <v>128</v>
      </c>
      <c r="I25" s="1">
        <v>128</v>
      </c>
      <c r="J25" s="1">
        <v>128</v>
      </c>
      <c r="K25" s="1">
        <v>128</v>
      </c>
      <c r="L25" s="1">
        <v>0</v>
      </c>
    </row>
    <row r="26" spans="3:17">
      <c r="C26" s="1">
        <v>0</v>
      </c>
      <c r="D26" s="1">
        <v>16</v>
      </c>
      <c r="E26" s="1">
        <v>32</v>
      </c>
      <c r="F26" s="1">
        <v>64</v>
      </c>
      <c r="G26" s="1">
        <v>64</v>
      </c>
      <c r="H26" s="1">
        <v>128</v>
      </c>
      <c r="I26" s="1">
        <v>128</v>
      </c>
      <c r="J26" s="1">
        <v>128</v>
      </c>
      <c r="K26" s="1">
        <v>128</v>
      </c>
      <c r="L26" s="1">
        <v>0</v>
      </c>
    </row>
    <row r="27" spans="3:17">
      <c r="C27" s="1">
        <v>0</v>
      </c>
      <c r="D27" s="1">
        <v>16</v>
      </c>
      <c r="E27" s="1">
        <v>32</v>
      </c>
      <c r="F27" s="1">
        <v>64</v>
      </c>
      <c r="G27" s="1">
        <v>64</v>
      </c>
      <c r="H27" s="1">
        <v>128</v>
      </c>
      <c r="I27" s="1">
        <v>128</v>
      </c>
      <c r="J27" s="1">
        <v>128</v>
      </c>
      <c r="K27" s="1">
        <v>128</v>
      </c>
      <c r="L27" s="1">
        <v>0</v>
      </c>
    </row>
    <row r="28" spans="3:17">
      <c r="C28" s="1">
        <v>0</v>
      </c>
      <c r="D28" s="1">
        <v>16</v>
      </c>
      <c r="E28" s="1">
        <v>32</v>
      </c>
      <c r="F28" s="1">
        <v>64</v>
      </c>
      <c r="G28" s="1">
        <v>64</v>
      </c>
      <c r="H28" s="1">
        <v>128</v>
      </c>
      <c r="I28" s="1">
        <v>128</v>
      </c>
      <c r="J28" s="1">
        <v>128</v>
      </c>
      <c r="K28" s="1">
        <v>128</v>
      </c>
      <c r="L28" s="1">
        <v>0</v>
      </c>
    </row>
    <row r="29" spans="3:17">
      <c r="C29" s="1">
        <v>0</v>
      </c>
      <c r="D29" s="1">
        <v>16</v>
      </c>
      <c r="E29" s="1">
        <v>32</v>
      </c>
      <c r="F29" s="1">
        <v>64</v>
      </c>
      <c r="G29" s="1">
        <v>64</v>
      </c>
      <c r="H29" s="1">
        <v>128</v>
      </c>
      <c r="I29" s="1">
        <v>128</v>
      </c>
      <c r="J29" s="1">
        <v>128</v>
      </c>
      <c r="K29" s="1">
        <v>128</v>
      </c>
      <c r="L29" s="1">
        <v>0</v>
      </c>
    </row>
    <row r="30" spans="3:17">
      <c r="C30" s="1">
        <v>0</v>
      </c>
      <c r="D30" s="1">
        <v>16</v>
      </c>
      <c r="E30" s="1">
        <v>32</v>
      </c>
      <c r="F30" s="1">
        <v>64</v>
      </c>
      <c r="G30" s="1">
        <v>64</v>
      </c>
      <c r="H30" s="1">
        <v>128</v>
      </c>
      <c r="I30" s="1">
        <v>128</v>
      </c>
      <c r="J30" s="1">
        <v>128</v>
      </c>
      <c r="K30" s="1">
        <v>128</v>
      </c>
      <c r="L30" s="1">
        <v>0</v>
      </c>
    </row>
    <row r="31" spans="3:17">
      <c r="C31" s="1">
        <v>0</v>
      </c>
      <c r="D31" s="1">
        <v>16</v>
      </c>
      <c r="E31" s="1">
        <v>32</v>
      </c>
      <c r="F31" s="1">
        <v>64</v>
      </c>
      <c r="G31" s="1">
        <v>64</v>
      </c>
      <c r="H31" s="1">
        <v>128</v>
      </c>
      <c r="I31" s="1">
        <v>128</v>
      </c>
      <c r="J31" s="1">
        <v>128</v>
      </c>
      <c r="K31" s="1">
        <v>128</v>
      </c>
      <c r="L31" s="1">
        <v>0</v>
      </c>
    </row>
    <row r="32" spans="3:17">
      <c r="C32" s="1">
        <v>0</v>
      </c>
      <c r="D32" s="1">
        <v>16</v>
      </c>
      <c r="E32" s="1">
        <v>32</v>
      </c>
      <c r="F32" s="1">
        <v>64</v>
      </c>
      <c r="G32" s="1">
        <v>64</v>
      </c>
      <c r="H32" s="1">
        <v>128</v>
      </c>
      <c r="I32" s="1">
        <v>128</v>
      </c>
      <c r="J32" s="1">
        <v>128</v>
      </c>
      <c r="K32" s="1">
        <v>128</v>
      </c>
      <c r="L32" s="1">
        <v>0</v>
      </c>
    </row>
    <row r="33" spans="3:12">
      <c r="C33" s="1">
        <v>0</v>
      </c>
      <c r="D33" s="1">
        <v>16</v>
      </c>
      <c r="E33" s="1">
        <v>32</v>
      </c>
      <c r="F33" s="1">
        <v>64</v>
      </c>
      <c r="G33" s="1">
        <v>64</v>
      </c>
      <c r="H33" s="1">
        <v>128</v>
      </c>
      <c r="I33" s="1">
        <v>128</v>
      </c>
      <c r="J33" s="1">
        <v>128</v>
      </c>
      <c r="K33" s="1">
        <v>128</v>
      </c>
      <c r="L33" s="1">
        <v>0</v>
      </c>
    </row>
    <row r="34" spans="3:12">
      <c r="C34" s="1">
        <v>0</v>
      </c>
      <c r="D34" s="1">
        <v>16</v>
      </c>
      <c r="E34" s="1">
        <v>32</v>
      </c>
      <c r="F34" s="1">
        <v>64</v>
      </c>
      <c r="G34" s="1">
        <v>64</v>
      </c>
      <c r="H34" s="1">
        <v>128</v>
      </c>
      <c r="I34" s="1">
        <v>128</v>
      </c>
      <c r="J34" s="1">
        <v>128</v>
      </c>
      <c r="K34" s="1">
        <v>128</v>
      </c>
      <c r="L34" s="1">
        <v>0</v>
      </c>
    </row>
    <row r="35" spans="3:12">
      <c r="C35" s="1">
        <v>0</v>
      </c>
      <c r="D35" s="1">
        <v>16</v>
      </c>
      <c r="E35" s="1">
        <v>32</v>
      </c>
      <c r="F35" s="1">
        <v>64</v>
      </c>
      <c r="G35" s="1">
        <v>64</v>
      </c>
      <c r="H35" s="1">
        <v>128</v>
      </c>
      <c r="I35" s="1">
        <v>128</v>
      </c>
      <c r="J35" s="1">
        <v>128</v>
      </c>
      <c r="K35" s="1">
        <v>128</v>
      </c>
      <c r="L35" s="1">
        <v>0</v>
      </c>
    </row>
    <row r="36" spans="3:12"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6"/>
  <sheetViews>
    <sheetView workbookViewId="0">
      <selection activeCell="R9" sqref="R9:R18"/>
    </sheetView>
  </sheetViews>
  <sheetFormatPr defaultColWidth="4.58333333333333" defaultRowHeight="14.25"/>
  <cols>
    <col min="17" max="17" width="50.4166666666667" customWidth="1"/>
  </cols>
  <sheetData>
    <row r="2" spans="2:18">
      <c r="B2" t="s">
        <v>21</v>
      </c>
    </row>
    <row r="3" spans="2:18"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2:18">
      <c r="C4" s="1">
        <v>0</v>
      </c>
      <c r="D4" s="1">
        <v>8</v>
      </c>
      <c r="E4" s="1">
        <v>32</v>
      </c>
      <c r="F4" s="1">
        <v>32.1</v>
      </c>
      <c r="G4" s="1">
        <v>64</v>
      </c>
      <c r="H4" s="1">
        <v>64</v>
      </c>
      <c r="I4" s="1">
        <v>128</v>
      </c>
      <c r="J4" s="1">
        <v>128</v>
      </c>
      <c r="K4" s="1">
        <v>128</v>
      </c>
      <c r="L4" s="1">
        <v>128</v>
      </c>
      <c r="M4" s="1">
        <v>0</v>
      </c>
    </row>
    <row r="5" spans="2:18">
      <c r="C5" s="1">
        <v>0</v>
      </c>
      <c r="D5" s="1">
        <v>8</v>
      </c>
      <c r="E5" s="1">
        <v>32</v>
      </c>
      <c r="F5" s="1">
        <v>32.1</v>
      </c>
      <c r="G5" s="1">
        <v>64</v>
      </c>
      <c r="H5" s="1">
        <v>64</v>
      </c>
      <c r="I5" s="1">
        <v>128</v>
      </c>
      <c r="J5" s="1">
        <v>128</v>
      </c>
      <c r="K5" s="1">
        <v>128</v>
      </c>
      <c r="L5" s="1">
        <v>128</v>
      </c>
      <c r="M5" s="1">
        <v>0</v>
      </c>
    </row>
    <row r="6" spans="2:18">
      <c r="C6" s="1">
        <v>0</v>
      </c>
      <c r="D6" s="1">
        <v>8</v>
      </c>
      <c r="E6" s="1">
        <v>32</v>
      </c>
      <c r="F6" s="1">
        <v>32.1</v>
      </c>
      <c r="G6" s="1">
        <v>64</v>
      </c>
      <c r="H6" s="1">
        <v>64</v>
      </c>
      <c r="I6" s="1">
        <v>128</v>
      </c>
      <c r="J6" s="1">
        <v>128</v>
      </c>
      <c r="K6" s="1">
        <v>128</v>
      </c>
      <c r="L6" s="1">
        <v>128</v>
      </c>
      <c r="M6" s="1">
        <v>0</v>
      </c>
    </row>
    <row r="7" spans="2:18">
      <c r="C7" s="1">
        <v>0</v>
      </c>
      <c r="D7" s="1">
        <v>8</v>
      </c>
      <c r="E7" s="1">
        <v>32</v>
      </c>
      <c r="F7" s="1">
        <v>32.1</v>
      </c>
      <c r="G7" s="1">
        <v>64</v>
      </c>
      <c r="H7" s="1">
        <v>64</v>
      </c>
      <c r="I7" s="1">
        <v>128</v>
      </c>
      <c r="J7" s="1">
        <v>128</v>
      </c>
      <c r="K7" s="1">
        <v>128</v>
      </c>
      <c r="L7" s="1">
        <v>128</v>
      </c>
      <c r="M7" s="1">
        <v>0</v>
      </c>
    </row>
    <row r="8" ht="17.5" customHeight="1" spans="2:18">
      <c r="C8" s="1">
        <v>0</v>
      </c>
      <c r="D8" s="1">
        <v>8</v>
      </c>
      <c r="E8" s="1">
        <v>32</v>
      </c>
      <c r="F8" s="1">
        <v>32.1</v>
      </c>
      <c r="G8" s="1">
        <v>64</v>
      </c>
      <c r="H8" s="1">
        <v>64</v>
      </c>
      <c r="I8" s="1">
        <v>128</v>
      </c>
      <c r="J8" s="1">
        <v>128</v>
      </c>
      <c r="K8" s="1">
        <v>128</v>
      </c>
      <c r="L8" s="1">
        <v>128</v>
      </c>
      <c r="M8" s="1">
        <v>0</v>
      </c>
      <c r="Q8" s="4" t="s">
        <v>20</v>
      </c>
    </row>
    <row r="9" spans="2:18">
      <c r="C9" s="1">
        <v>0</v>
      </c>
      <c r="D9" s="1">
        <v>8</v>
      </c>
      <c r="E9" s="1">
        <v>32</v>
      </c>
      <c r="F9" s="1">
        <v>32.1</v>
      </c>
      <c r="G9" s="1">
        <v>64</v>
      </c>
      <c r="H9" s="1">
        <v>64</v>
      </c>
      <c r="I9" s="1">
        <v>128</v>
      </c>
      <c r="J9" s="1">
        <v>128</v>
      </c>
      <c r="K9" s="1">
        <v>128</v>
      </c>
      <c r="L9" s="1">
        <v>128</v>
      </c>
      <c r="M9" s="1">
        <v>0</v>
      </c>
      <c r="P9" t="s">
        <v>2</v>
      </c>
      <c r="Q9" s="2" t="s">
        <v>3</v>
      </c>
      <c r="R9" t="s">
        <v>4</v>
      </c>
    </row>
    <row r="10" spans="2:18">
      <c r="C10" s="1">
        <v>0</v>
      </c>
      <c r="D10" s="1">
        <v>8</v>
      </c>
      <c r="E10" s="1">
        <v>32</v>
      </c>
      <c r="F10" s="1">
        <v>32.1</v>
      </c>
      <c r="G10" s="1">
        <v>64</v>
      </c>
      <c r="H10" s="1">
        <v>64</v>
      </c>
      <c r="I10" s="1">
        <v>128</v>
      </c>
      <c r="J10" s="1">
        <v>128</v>
      </c>
      <c r="K10" s="1">
        <v>128</v>
      </c>
      <c r="L10" s="1">
        <v>128</v>
      </c>
      <c r="M10" s="1">
        <v>0</v>
      </c>
      <c r="P10" s="3">
        <v>1</v>
      </c>
      <c r="Q10" s="2">
        <f>COUNT(D18:D19)</f>
        <v>2</v>
      </c>
      <c r="R10" t="s">
        <v>5</v>
      </c>
    </row>
    <row r="11" spans="2:18">
      <c r="C11" s="1">
        <v>0</v>
      </c>
      <c r="D11" s="1">
        <v>8</v>
      </c>
      <c r="E11" s="1">
        <v>32</v>
      </c>
      <c r="F11" s="1">
        <v>32.1</v>
      </c>
      <c r="G11" s="1">
        <v>64</v>
      </c>
      <c r="H11" s="1">
        <v>64</v>
      </c>
      <c r="I11" s="1">
        <v>128</v>
      </c>
      <c r="J11" s="1">
        <v>128</v>
      </c>
      <c r="K11" s="1">
        <v>128</v>
      </c>
      <c r="L11" s="1">
        <v>128</v>
      </c>
      <c r="M11" s="1">
        <v>0</v>
      </c>
      <c r="P11" s="3">
        <v>2</v>
      </c>
      <c r="Q11" s="2">
        <f>COUNT(D16:D17)</f>
        <v>2</v>
      </c>
      <c r="R11" t="s">
        <v>6</v>
      </c>
    </row>
    <row r="12" spans="2:18">
      <c r="C12" s="1">
        <v>0</v>
      </c>
      <c r="D12" s="1">
        <v>4</v>
      </c>
      <c r="E12" s="1">
        <v>32</v>
      </c>
      <c r="F12" s="1">
        <v>32.1</v>
      </c>
      <c r="G12" s="1">
        <v>64</v>
      </c>
      <c r="H12" s="1">
        <v>64</v>
      </c>
      <c r="I12" s="1">
        <v>128</v>
      </c>
      <c r="J12" s="1">
        <v>128</v>
      </c>
      <c r="K12" s="1">
        <v>128</v>
      </c>
      <c r="L12" s="1">
        <v>128</v>
      </c>
      <c r="M12" s="1">
        <v>0</v>
      </c>
      <c r="P12" s="3">
        <v>4</v>
      </c>
      <c r="Q12" s="2">
        <f>COUNT(D12:D15)</f>
        <v>4</v>
      </c>
      <c r="R12" t="s">
        <v>7</v>
      </c>
    </row>
    <row r="13" spans="2:18">
      <c r="C13" s="1">
        <v>0</v>
      </c>
      <c r="D13" s="1">
        <v>4</v>
      </c>
      <c r="E13" s="1">
        <v>32</v>
      </c>
      <c r="F13" s="1">
        <v>32.1</v>
      </c>
      <c r="G13" s="1">
        <v>64</v>
      </c>
      <c r="H13" s="1">
        <v>64</v>
      </c>
      <c r="I13" s="1">
        <v>128</v>
      </c>
      <c r="J13" s="1">
        <v>128</v>
      </c>
      <c r="K13" s="1">
        <v>128</v>
      </c>
      <c r="L13" s="1">
        <v>128</v>
      </c>
      <c r="M13" s="1">
        <v>0</v>
      </c>
      <c r="P13" s="3">
        <v>8</v>
      </c>
      <c r="Q13" s="2">
        <f>COUNT(D4:D11)</f>
        <v>8</v>
      </c>
      <c r="R13" t="s">
        <v>8</v>
      </c>
    </row>
    <row r="14" spans="2:18">
      <c r="C14" s="1">
        <v>0</v>
      </c>
      <c r="D14" s="1">
        <v>4</v>
      </c>
      <c r="E14" s="1">
        <v>32</v>
      </c>
      <c r="F14" s="1">
        <v>32.1</v>
      </c>
      <c r="G14" s="1">
        <v>64</v>
      </c>
      <c r="H14" s="1">
        <v>64</v>
      </c>
      <c r="I14" s="1">
        <v>128</v>
      </c>
      <c r="J14" s="1">
        <v>128</v>
      </c>
      <c r="K14" s="1">
        <v>128</v>
      </c>
      <c r="L14" s="1">
        <v>128</v>
      </c>
      <c r="M14" s="1">
        <v>0</v>
      </c>
      <c r="P14" s="3">
        <v>16</v>
      </c>
      <c r="Q14" s="2">
        <f>COUNT(D20:D35)</f>
        <v>16</v>
      </c>
      <c r="R14" t="s">
        <v>17</v>
      </c>
    </row>
    <row r="15" spans="2:18">
      <c r="C15" s="1">
        <v>0</v>
      </c>
      <c r="D15" s="1">
        <v>4</v>
      </c>
      <c r="E15" s="1">
        <v>32</v>
      </c>
      <c r="F15" s="1">
        <v>32.1</v>
      </c>
      <c r="G15" s="1">
        <v>64</v>
      </c>
      <c r="H15" s="1">
        <v>64</v>
      </c>
      <c r="I15" s="1">
        <v>128</v>
      </c>
      <c r="J15" s="1">
        <v>128</v>
      </c>
      <c r="K15" s="1">
        <v>128</v>
      </c>
      <c r="L15" s="1">
        <v>128</v>
      </c>
      <c r="M15" s="1">
        <v>0</v>
      </c>
      <c r="P15" s="3">
        <v>32</v>
      </c>
      <c r="Q15" s="2">
        <f>COUNT(E4:E35)</f>
        <v>32</v>
      </c>
      <c r="R15" t="s">
        <v>9</v>
      </c>
    </row>
    <row r="16" spans="2:18">
      <c r="C16" s="1">
        <v>0</v>
      </c>
      <c r="D16" s="1">
        <v>2</v>
      </c>
      <c r="E16" s="1">
        <v>32</v>
      </c>
      <c r="F16" s="1">
        <v>32.1</v>
      </c>
      <c r="G16" s="1">
        <v>64</v>
      </c>
      <c r="H16" s="1">
        <v>64</v>
      </c>
      <c r="I16" s="1">
        <v>128</v>
      </c>
      <c r="J16" s="1">
        <v>128</v>
      </c>
      <c r="K16" s="1">
        <v>128</v>
      </c>
      <c r="L16" s="1">
        <v>128</v>
      </c>
      <c r="M16" s="1">
        <v>0</v>
      </c>
      <c r="P16" s="3">
        <v>32.1</v>
      </c>
      <c r="Q16" s="2">
        <f>COUNT(F4:F35)</f>
        <v>32</v>
      </c>
      <c r="R16" t="s">
        <v>10</v>
      </c>
    </row>
    <row r="17" spans="3:18">
      <c r="C17" s="1">
        <v>0</v>
      </c>
      <c r="D17" s="1">
        <v>2</v>
      </c>
      <c r="E17" s="1">
        <v>32</v>
      </c>
      <c r="F17" s="1">
        <v>32.1</v>
      </c>
      <c r="G17" s="1">
        <v>64</v>
      </c>
      <c r="H17" s="1">
        <v>64</v>
      </c>
      <c r="I17" s="1">
        <v>128</v>
      </c>
      <c r="J17" s="1">
        <v>128</v>
      </c>
      <c r="K17" s="1">
        <v>128</v>
      </c>
      <c r="L17" s="1">
        <v>128</v>
      </c>
      <c r="M17" s="1">
        <v>0</v>
      </c>
      <c r="P17" s="3">
        <v>64</v>
      </c>
      <c r="Q17" s="2">
        <f>COUNT(G4:H35)</f>
        <v>64</v>
      </c>
      <c r="R17" t="s">
        <v>11</v>
      </c>
    </row>
    <row r="18" spans="3:18">
      <c r="C18" s="1">
        <v>0</v>
      </c>
      <c r="D18" s="1">
        <v>1</v>
      </c>
      <c r="E18" s="1">
        <v>32</v>
      </c>
      <c r="F18" s="1">
        <v>32.1</v>
      </c>
      <c r="G18" s="1">
        <v>64</v>
      </c>
      <c r="H18" s="1">
        <v>64</v>
      </c>
      <c r="I18" s="1">
        <v>128</v>
      </c>
      <c r="J18" s="1">
        <v>128</v>
      </c>
      <c r="K18" s="1">
        <v>128</v>
      </c>
      <c r="L18" s="1">
        <v>128</v>
      </c>
      <c r="M18" s="1">
        <v>0</v>
      </c>
      <c r="P18" s="3">
        <v>128</v>
      </c>
      <c r="Q18" s="2">
        <f>COUNT(I4:L35)</f>
        <v>128</v>
      </c>
      <c r="R18" t="s">
        <v>12</v>
      </c>
    </row>
    <row r="19" spans="3:18">
      <c r="C19" s="1">
        <v>0</v>
      </c>
      <c r="D19" s="1">
        <v>1</v>
      </c>
      <c r="E19" s="1">
        <v>32</v>
      </c>
      <c r="F19" s="1">
        <v>32.1</v>
      </c>
      <c r="G19" s="1">
        <v>64</v>
      </c>
      <c r="H19" s="1">
        <v>64</v>
      </c>
      <c r="I19" s="1">
        <v>128</v>
      </c>
      <c r="J19" s="1">
        <v>128</v>
      </c>
      <c r="K19" s="1">
        <v>128</v>
      </c>
      <c r="L19" s="1">
        <v>128</v>
      </c>
      <c r="M19" s="1">
        <v>0</v>
      </c>
    </row>
    <row r="20" spans="3:18">
      <c r="C20" s="1">
        <v>0</v>
      </c>
      <c r="D20" s="1">
        <v>16</v>
      </c>
      <c r="E20" s="1">
        <v>32</v>
      </c>
      <c r="F20" s="1">
        <v>32.1</v>
      </c>
      <c r="G20" s="1">
        <v>64</v>
      </c>
      <c r="H20" s="1">
        <v>64</v>
      </c>
      <c r="I20" s="1">
        <v>128</v>
      </c>
      <c r="J20" s="1">
        <v>128</v>
      </c>
      <c r="K20" s="1">
        <v>128</v>
      </c>
      <c r="L20" s="1">
        <v>128</v>
      </c>
      <c r="M20" s="1">
        <v>0</v>
      </c>
    </row>
    <row r="21" spans="3:18">
      <c r="C21" s="1">
        <v>0</v>
      </c>
      <c r="D21" s="1">
        <v>16</v>
      </c>
      <c r="E21" s="1">
        <v>32</v>
      </c>
      <c r="F21" s="1">
        <v>32.1</v>
      </c>
      <c r="G21" s="1">
        <v>64</v>
      </c>
      <c r="H21" s="1">
        <v>64</v>
      </c>
      <c r="I21" s="1">
        <v>128</v>
      </c>
      <c r="J21" s="1">
        <v>128</v>
      </c>
      <c r="K21" s="1">
        <v>128</v>
      </c>
      <c r="L21" s="1">
        <v>128</v>
      </c>
      <c r="M21" s="1">
        <v>0</v>
      </c>
    </row>
    <row r="22" spans="3:18">
      <c r="C22" s="1">
        <v>0</v>
      </c>
      <c r="D22" s="1">
        <v>16</v>
      </c>
      <c r="E22" s="1">
        <v>32</v>
      </c>
      <c r="F22" s="1">
        <v>32.1</v>
      </c>
      <c r="G22" s="1">
        <v>64</v>
      </c>
      <c r="H22" s="1">
        <v>64</v>
      </c>
      <c r="I22" s="1">
        <v>128</v>
      </c>
      <c r="J22" s="1">
        <v>128</v>
      </c>
      <c r="K22" s="1">
        <v>128</v>
      </c>
      <c r="L22" s="1">
        <v>128</v>
      </c>
      <c r="M22" s="1">
        <v>0</v>
      </c>
    </row>
    <row r="23" spans="3:18">
      <c r="C23" s="1">
        <v>0</v>
      </c>
      <c r="D23" s="1">
        <v>16</v>
      </c>
      <c r="E23" s="1">
        <v>32</v>
      </c>
      <c r="F23" s="1">
        <v>32.1</v>
      </c>
      <c r="G23" s="1">
        <v>64</v>
      </c>
      <c r="H23" s="1">
        <v>64</v>
      </c>
      <c r="I23" s="1">
        <v>128</v>
      </c>
      <c r="J23" s="1">
        <v>128</v>
      </c>
      <c r="K23" s="1">
        <v>128</v>
      </c>
      <c r="L23" s="1">
        <v>128</v>
      </c>
      <c r="M23" s="1">
        <v>0</v>
      </c>
    </row>
    <row r="24" spans="3:18">
      <c r="C24" s="1">
        <v>0</v>
      </c>
      <c r="D24" s="1">
        <v>16</v>
      </c>
      <c r="E24" s="1">
        <v>32</v>
      </c>
      <c r="F24" s="1">
        <v>32.1</v>
      </c>
      <c r="G24" s="1">
        <v>64</v>
      </c>
      <c r="H24" s="1">
        <v>64</v>
      </c>
      <c r="I24" s="1">
        <v>128</v>
      </c>
      <c r="J24" s="1">
        <v>128</v>
      </c>
      <c r="K24" s="1">
        <v>128</v>
      </c>
      <c r="L24" s="1">
        <v>128</v>
      </c>
      <c r="M24" s="1">
        <v>0</v>
      </c>
    </row>
    <row r="25" spans="3:18">
      <c r="C25" s="1">
        <v>0</v>
      </c>
      <c r="D25" s="1">
        <v>16</v>
      </c>
      <c r="E25" s="1">
        <v>32</v>
      </c>
      <c r="F25" s="1">
        <v>32.1</v>
      </c>
      <c r="G25" s="1">
        <v>64</v>
      </c>
      <c r="H25" s="1">
        <v>64</v>
      </c>
      <c r="I25" s="1">
        <v>128</v>
      </c>
      <c r="J25" s="1">
        <v>128</v>
      </c>
      <c r="K25" s="1">
        <v>128</v>
      </c>
      <c r="L25" s="1">
        <v>128</v>
      </c>
      <c r="M25" s="1">
        <v>0</v>
      </c>
    </row>
    <row r="26" spans="3:18">
      <c r="C26" s="1">
        <v>0</v>
      </c>
      <c r="D26" s="1">
        <v>16</v>
      </c>
      <c r="E26" s="1">
        <v>32</v>
      </c>
      <c r="F26" s="1">
        <v>32.1</v>
      </c>
      <c r="G26" s="1">
        <v>64</v>
      </c>
      <c r="H26" s="1">
        <v>64</v>
      </c>
      <c r="I26" s="1">
        <v>128</v>
      </c>
      <c r="J26" s="1">
        <v>128</v>
      </c>
      <c r="K26" s="1">
        <v>128</v>
      </c>
      <c r="L26" s="1">
        <v>128</v>
      </c>
      <c r="M26" s="1">
        <v>0</v>
      </c>
    </row>
    <row r="27" spans="3:18">
      <c r="C27" s="1">
        <v>0</v>
      </c>
      <c r="D27" s="1">
        <v>16</v>
      </c>
      <c r="E27" s="1">
        <v>32</v>
      </c>
      <c r="F27" s="1">
        <v>32.1</v>
      </c>
      <c r="G27" s="1">
        <v>64</v>
      </c>
      <c r="H27" s="1">
        <v>64</v>
      </c>
      <c r="I27" s="1">
        <v>128</v>
      </c>
      <c r="J27" s="1">
        <v>128</v>
      </c>
      <c r="K27" s="1">
        <v>128</v>
      </c>
      <c r="L27" s="1">
        <v>128</v>
      </c>
      <c r="M27" s="1">
        <v>0</v>
      </c>
    </row>
    <row r="28" spans="3:18">
      <c r="C28" s="1">
        <v>0</v>
      </c>
      <c r="D28" s="1">
        <v>16</v>
      </c>
      <c r="E28" s="1">
        <v>32</v>
      </c>
      <c r="F28" s="1">
        <v>32.1</v>
      </c>
      <c r="G28" s="1">
        <v>64</v>
      </c>
      <c r="H28" s="1">
        <v>64</v>
      </c>
      <c r="I28" s="1">
        <v>128</v>
      </c>
      <c r="J28" s="1">
        <v>128</v>
      </c>
      <c r="K28" s="1">
        <v>128</v>
      </c>
      <c r="L28" s="1">
        <v>128</v>
      </c>
      <c r="M28" s="1">
        <v>0</v>
      </c>
    </row>
    <row r="29" spans="3:18">
      <c r="C29" s="1">
        <v>0</v>
      </c>
      <c r="D29" s="1">
        <v>16</v>
      </c>
      <c r="E29" s="1">
        <v>32</v>
      </c>
      <c r="F29" s="1">
        <v>32.1</v>
      </c>
      <c r="G29" s="1">
        <v>64</v>
      </c>
      <c r="H29" s="1">
        <v>64</v>
      </c>
      <c r="I29" s="1">
        <v>128</v>
      </c>
      <c r="J29" s="1">
        <v>128</v>
      </c>
      <c r="K29" s="1">
        <v>128</v>
      </c>
      <c r="L29" s="1">
        <v>128</v>
      </c>
      <c r="M29" s="1">
        <v>0</v>
      </c>
    </row>
    <row r="30" spans="3:18">
      <c r="C30" s="1">
        <v>0</v>
      </c>
      <c r="D30" s="1">
        <v>16</v>
      </c>
      <c r="E30" s="1">
        <v>32</v>
      </c>
      <c r="F30" s="1">
        <v>32.1</v>
      </c>
      <c r="G30" s="1">
        <v>64</v>
      </c>
      <c r="H30" s="1">
        <v>64</v>
      </c>
      <c r="I30" s="1">
        <v>128</v>
      </c>
      <c r="J30" s="1">
        <v>128</v>
      </c>
      <c r="K30" s="1">
        <v>128</v>
      </c>
      <c r="L30" s="1">
        <v>128</v>
      </c>
      <c r="M30" s="1">
        <v>0</v>
      </c>
    </row>
    <row r="31" spans="3:18">
      <c r="C31" s="1">
        <v>0</v>
      </c>
      <c r="D31" s="1">
        <v>16</v>
      </c>
      <c r="E31" s="1">
        <v>32</v>
      </c>
      <c r="F31" s="1">
        <v>32.1</v>
      </c>
      <c r="G31" s="1">
        <v>64</v>
      </c>
      <c r="H31" s="1">
        <v>64</v>
      </c>
      <c r="I31" s="1">
        <v>128</v>
      </c>
      <c r="J31" s="1">
        <v>128</v>
      </c>
      <c r="K31" s="1">
        <v>128</v>
      </c>
      <c r="L31" s="1">
        <v>128</v>
      </c>
      <c r="M31" s="1">
        <v>0</v>
      </c>
    </row>
    <row r="32" spans="3:18">
      <c r="C32" s="1">
        <v>0</v>
      </c>
      <c r="D32" s="1">
        <v>16</v>
      </c>
      <c r="E32" s="1">
        <v>32</v>
      </c>
      <c r="F32" s="1">
        <v>32.1</v>
      </c>
      <c r="G32" s="1">
        <v>64</v>
      </c>
      <c r="H32" s="1">
        <v>64</v>
      </c>
      <c r="I32" s="1">
        <v>128</v>
      </c>
      <c r="J32" s="1">
        <v>128</v>
      </c>
      <c r="K32" s="1">
        <v>128</v>
      </c>
      <c r="L32" s="1">
        <v>128</v>
      </c>
      <c r="M32" s="1">
        <v>0</v>
      </c>
    </row>
    <row r="33" spans="3:13">
      <c r="C33" s="1">
        <v>0</v>
      </c>
      <c r="D33" s="1">
        <v>16</v>
      </c>
      <c r="E33" s="1">
        <v>32</v>
      </c>
      <c r="F33" s="1">
        <v>32.1</v>
      </c>
      <c r="G33" s="1">
        <v>64</v>
      </c>
      <c r="H33" s="1">
        <v>64</v>
      </c>
      <c r="I33" s="1">
        <v>128</v>
      </c>
      <c r="J33" s="1">
        <v>128</v>
      </c>
      <c r="K33" s="1">
        <v>128</v>
      </c>
      <c r="L33" s="1">
        <v>128</v>
      </c>
      <c r="M33" s="1">
        <v>0</v>
      </c>
    </row>
    <row r="34" spans="3:13">
      <c r="C34" s="1">
        <v>0</v>
      </c>
      <c r="D34" s="1">
        <v>16</v>
      </c>
      <c r="E34" s="1">
        <v>32</v>
      </c>
      <c r="F34" s="1">
        <v>32.1</v>
      </c>
      <c r="G34" s="1">
        <v>64</v>
      </c>
      <c r="H34" s="1">
        <v>64</v>
      </c>
      <c r="I34" s="1">
        <v>128</v>
      </c>
      <c r="J34" s="1">
        <v>128</v>
      </c>
      <c r="K34" s="1">
        <v>128</v>
      </c>
      <c r="L34" s="1">
        <v>128</v>
      </c>
      <c r="M34" s="1">
        <v>0</v>
      </c>
    </row>
    <row r="35" spans="3:13">
      <c r="C35" s="1">
        <v>0</v>
      </c>
      <c r="D35" s="1">
        <v>16</v>
      </c>
      <c r="E35" s="1">
        <v>32</v>
      </c>
      <c r="F35" s="1">
        <v>32.1</v>
      </c>
      <c r="G35" s="1">
        <v>64</v>
      </c>
      <c r="H35" s="1">
        <v>64</v>
      </c>
      <c r="I35" s="1">
        <v>128</v>
      </c>
      <c r="J35" s="1">
        <v>128</v>
      </c>
      <c r="K35" s="1">
        <v>128</v>
      </c>
      <c r="L35" s="1">
        <v>128</v>
      </c>
      <c r="M35" s="1">
        <v>0</v>
      </c>
    </row>
    <row r="36" spans="3:13"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2:AI16"/>
  <sheetViews>
    <sheetView workbookViewId="0">
      <selection activeCell="AE18" sqref="AE18"/>
    </sheetView>
  </sheetViews>
  <sheetFormatPr defaultColWidth="4.58333333333333" defaultRowHeight="14.25"/>
  <cols>
    <col min="34" max="34" width="12.5" customWidth="1"/>
  </cols>
  <sheetData>
    <row r="2" spans="2:35">
      <c r="B2" t="s">
        <v>22</v>
      </c>
    </row>
    <row r="7" spans="2:35"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2:35">
      <c r="K8" s="1">
        <v>0</v>
      </c>
      <c r="L8" s="1">
        <v>1</v>
      </c>
      <c r="M8" s="1">
        <v>1.8</v>
      </c>
      <c r="N8" s="1">
        <v>3.2</v>
      </c>
      <c r="O8" s="1">
        <v>3.2</v>
      </c>
      <c r="P8" s="1">
        <v>3.2</v>
      </c>
      <c r="Q8" s="1">
        <v>5.8</v>
      </c>
      <c r="R8" s="1">
        <v>5.8</v>
      </c>
      <c r="S8" s="1">
        <v>5.8</v>
      </c>
      <c r="T8" s="1">
        <v>5.8</v>
      </c>
      <c r="U8" s="1">
        <v>5.8</v>
      </c>
      <c r="V8" s="1">
        <v>5.8</v>
      </c>
      <c r="W8" s="1">
        <v>10.5</v>
      </c>
      <c r="X8" s="1">
        <v>10.5</v>
      </c>
      <c r="Y8" s="1">
        <v>10.5</v>
      </c>
      <c r="Z8" s="1">
        <v>10.5</v>
      </c>
      <c r="AA8" s="1">
        <v>10.5</v>
      </c>
      <c r="AB8" s="1">
        <v>10.5</v>
      </c>
      <c r="AC8" s="1">
        <v>0</v>
      </c>
      <c r="AG8" t="s">
        <v>2</v>
      </c>
      <c r="AH8" s="2" t="s">
        <v>3</v>
      </c>
      <c r="AI8" t="s">
        <v>4</v>
      </c>
    </row>
    <row r="9" spans="2:35">
      <c r="K9" s="1">
        <v>0</v>
      </c>
      <c r="L9" s="1">
        <v>10.5</v>
      </c>
      <c r="M9" s="1">
        <v>10.5</v>
      </c>
      <c r="N9" s="1">
        <v>10.5</v>
      </c>
      <c r="O9" s="1">
        <v>10.5</v>
      </c>
      <c r="P9" s="1">
        <v>10.5</v>
      </c>
      <c r="Q9" s="1">
        <v>18.9</v>
      </c>
      <c r="R9" s="1">
        <v>18.9</v>
      </c>
      <c r="S9" s="1">
        <v>18.9</v>
      </c>
      <c r="T9" s="1">
        <v>18.9</v>
      </c>
      <c r="U9" s="1">
        <v>18.9</v>
      </c>
      <c r="V9" s="1">
        <v>18.9</v>
      </c>
      <c r="W9" s="1">
        <v>18.9</v>
      </c>
      <c r="X9" s="1">
        <v>18.9</v>
      </c>
      <c r="Y9" s="1">
        <v>18.9</v>
      </c>
      <c r="Z9" s="1">
        <v>18.9</v>
      </c>
      <c r="AA9" s="1">
        <v>34</v>
      </c>
      <c r="AB9" s="1">
        <v>34</v>
      </c>
      <c r="AC9" s="1">
        <v>0</v>
      </c>
      <c r="AG9" s="3">
        <v>1</v>
      </c>
      <c r="AH9" s="2">
        <f>COUNT(L8)</f>
        <v>1</v>
      </c>
      <c r="AI9" t="s">
        <v>5</v>
      </c>
    </row>
    <row r="10" spans="2:35">
      <c r="K10" s="1">
        <v>0</v>
      </c>
      <c r="L10" s="1">
        <v>34</v>
      </c>
      <c r="M10" s="1">
        <v>34</v>
      </c>
      <c r="N10" s="1">
        <v>34</v>
      </c>
      <c r="O10" s="1">
        <v>34</v>
      </c>
      <c r="P10" s="1">
        <v>34</v>
      </c>
      <c r="Q10" s="1">
        <v>34</v>
      </c>
      <c r="R10" s="1">
        <v>34</v>
      </c>
      <c r="S10" s="1">
        <v>34</v>
      </c>
      <c r="T10" s="1">
        <v>34</v>
      </c>
      <c r="U10" s="1">
        <v>34</v>
      </c>
      <c r="V10" s="1">
        <v>34</v>
      </c>
      <c r="W10" s="1">
        <v>34</v>
      </c>
      <c r="X10" s="1">
        <v>34</v>
      </c>
      <c r="Y10" s="1">
        <v>34</v>
      </c>
      <c r="Z10" s="1">
        <v>34</v>
      </c>
      <c r="AA10" s="1">
        <v>34</v>
      </c>
      <c r="AB10" s="1">
        <v>34</v>
      </c>
      <c r="AC10" s="1">
        <v>0</v>
      </c>
      <c r="AG10" s="3">
        <v>1.8</v>
      </c>
      <c r="AH10" s="2">
        <f>COUNT(M8)</f>
        <v>1</v>
      </c>
      <c r="AI10" t="s">
        <v>6</v>
      </c>
    </row>
    <row r="11" spans="2:35">
      <c r="K11" s="1">
        <v>0</v>
      </c>
      <c r="L11" s="1">
        <v>34</v>
      </c>
      <c r="M11" s="1">
        <v>34</v>
      </c>
      <c r="N11" s="1">
        <v>34</v>
      </c>
      <c r="O11" s="1">
        <v>34</v>
      </c>
      <c r="P11" s="1">
        <v>34</v>
      </c>
      <c r="Q11" s="1">
        <v>34</v>
      </c>
      <c r="R11" s="1">
        <v>18.9</v>
      </c>
      <c r="S11" s="1">
        <v>18.9</v>
      </c>
      <c r="T11" s="1">
        <v>18.9</v>
      </c>
      <c r="U11" s="1">
        <v>18.9</v>
      </c>
      <c r="V11" s="1">
        <v>18.9</v>
      </c>
      <c r="W11" s="1">
        <v>18.9</v>
      </c>
      <c r="X11" s="1">
        <v>18.9</v>
      </c>
      <c r="Y11" s="1">
        <v>18.9</v>
      </c>
      <c r="Z11" s="1">
        <v>18.9</v>
      </c>
      <c r="AA11" s="1">
        <v>34</v>
      </c>
      <c r="AB11" s="1">
        <v>34</v>
      </c>
      <c r="AC11" s="1">
        <v>0</v>
      </c>
      <c r="AG11" s="3">
        <v>3.2</v>
      </c>
      <c r="AH11" s="2">
        <f>COUNT(N8:P8)</f>
        <v>3</v>
      </c>
      <c r="AI11" t="s">
        <v>7</v>
      </c>
    </row>
    <row r="12" spans="2:35">
      <c r="K12" s="1">
        <v>0</v>
      </c>
      <c r="L12" s="1">
        <v>34</v>
      </c>
      <c r="M12" s="1">
        <v>34</v>
      </c>
      <c r="N12" s="1">
        <v>34</v>
      </c>
      <c r="O12" s="1">
        <v>34</v>
      </c>
      <c r="P12" s="1">
        <v>34</v>
      </c>
      <c r="Q12" s="1">
        <v>34</v>
      </c>
      <c r="R12" s="1">
        <v>34</v>
      </c>
      <c r="S12" s="1">
        <v>61</v>
      </c>
      <c r="T12" s="1">
        <v>61</v>
      </c>
      <c r="U12" s="1">
        <v>61</v>
      </c>
      <c r="V12" s="1">
        <v>61</v>
      </c>
      <c r="W12" s="1">
        <v>61</v>
      </c>
      <c r="X12" s="1">
        <v>61</v>
      </c>
      <c r="Y12" s="1">
        <v>61</v>
      </c>
      <c r="Z12" s="1">
        <v>61</v>
      </c>
      <c r="AA12" s="1">
        <v>61</v>
      </c>
      <c r="AB12" s="1">
        <v>61</v>
      </c>
      <c r="AC12" s="1">
        <v>0</v>
      </c>
      <c r="AG12" s="3">
        <v>5.8</v>
      </c>
      <c r="AH12" s="2">
        <f>COUNT(Q8:V8)</f>
        <v>6</v>
      </c>
      <c r="AI12" t="s">
        <v>8</v>
      </c>
    </row>
    <row r="13" spans="2:35">
      <c r="K13" s="1">
        <v>0</v>
      </c>
      <c r="L13" s="1">
        <v>61</v>
      </c>
      <c r="M13" s="1">
        <v>61</v>
      </c>
      <c r="N13" s="1">
        <v>61</v>
      </c>
      <c r="O13" s="1">
        <v>61</v>
      </c>
      <c r="P13" s="1">
        <v>61</v>
      </c>
      <c r="Q13" s="1">
        <v>61</v>
      </c>
      <c r="R13" s="1">
        <v>61</v>
      </c>
      <c r="S13" s="1">
        <v>61</v>
      </c>
      <c r="T13" s="1">
        <v>61</v>
      </c>
      <c r="U13" s="1">
        <v>61</v>
      </c>
      <c r="V13" s="1">
        <v>61</v>
      </c>
      <c r="W13" s="1">
        <v>61</v>
      </c>
      <c r="X13" s="1">
        <v>61</v>
      </c>
      <c r="Y13" s="1">
        <v>61</v>
      </c>
      <c r="Z13" s="1">
        <v>61</v>
      </c>
      <c r="AA13" s="1">
        <v>61</v>
      </c>
      <c r="AB13" s="1">
        <v>61</v>
      </c>
      <c r="AC13" s="1">
        <v>0</v>
      </c>
      <c r="AG13" s="3">
        <v>10.5</v>
      </c>
      <c r="AH13" s="2">
        <f>COUNT(W8:AB8,L9:P9)</f>
        <v>11</v>
      </c>
      <c r="AI13" t="s">
        <v>9</v>
      </c>
    </row>
    <row r="14" spans="2:35">
      <c r="K14" s="1">
        <v>0</v>
      </c>
      <c r="L14" s="1">
        <v>61</v>
      </c>
      <c r="M14" s="1">
        <v>61</v>
      </c>
      <c r="N14" s="1">
        <v>61</v>
      </c>
      <c r="O14" s="1">
        <v>61</v>
      </c>
      <c r="P14" s="1">
        <v>61</v>
      </c>
      <c r="Q14" s="1">
        <v>61</v>
      </c>
      <c r="R14" s="1">
        <v>61</v>
      </c>
      <c r="S14" s="1">
        <v>61</v>
      </c>
      <c r="T14" s="1">
        <v>61</v>
      </c>
      <c r="U14" s="1">
        <v>61</v>
      </c>
      <c r="V14" s="1">
        <v>61</v>
      </c>
      <c r="W14" s="1">
        <v>61</v>
      </c>
      <c r="X14" s="1">
        <v>61</v>
      </c>
      <c r="Y14" s="1">
        <v>61</v>
      </c>
      <c r="Z14" s="1">
        <v>61</v>
      </c>
      <c r="AA14" s="1">
        <v>61</v>
      </c>
      <c r="AB14" s="1">
        <v>61</v>
      </c>
      <c r="AC14" s="1">
        <v>0</v>
      </c>
      <c r="AG14" s="3">
        <v>18.9</v>
      </c>
      <c r="AH14" s="2">
        <f>COUNT(Q9:Z9,R11:Z11)</f>
        <v>19</v>
      </c>
      <c r="AI14" t="s">
        <v>10</v>
      </c>
    </row>
    <row r="15" spans="2:35">
      <c r="K15" s="1">
        <v>0</v>
      </c>
      <c r="L15" s="1">
        <v>61</v>
      </c>
      <c r="M15" s="1">
        <v>61</v>
      </c>
      <c r="N15" s="1">
        <v>61</v>
      </c>
      <c r="O15" s="1">
        <v>61</v>
      </c>
      <c r="P15" s="1">
        <v>61</v>
      </c>
      <c r="Q15" s="1">
        <v>61</v>
      </c>
      <c r="R15" s="1">
        <v>61</v>
      </c>
      <c r="S15" s="1">
        <v>61</v>
      </c>
      <c r="T15" s="1">
        <v>61</v>
      </c>
      <c r="U15" s="1">
        <v>61</v>
      </c>
      <c r="V15" s="1">
        <v>61</v>
      </c>
      <c r="W15" s="1">
        <v>61</v>
      </c>
      <c r="X15" s="1">
        <v>61</v>
      </c>
      <c r="Y15" s="1">
        <v>61</v>
      </c>
      <c r="Z15" s="1">
        <v>61</v>
      </c>
      <c r="AA15" s="1">
        <v>61</v>
      </c>
      <c r="AB15" s="1">
        <v>61</v>
      </c>
      <c r="AC15" s="1">
        <v>0</v>
      </c>
      <c r="AG15" s="3">
        <v>34</v>
      </c>
      <c r="AH15" s="2">
        <f>COUNT(AA9:AB10,L10:Z10,AA11:AB11,L11:Q12,R12)</f>
        <v>34</v>
      </c>
      <c r="AI15" t="s">
        <v>11</v>
      </c>
    </row>
    <row r="16" spans="2:35"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G16" s="3">
        <v>61</v>
      </c>
      <c r="AH16" s="2">
        <f>COUNT(L13:R15,S12:AB15)</f>
        <v>61</v>
      </c>
      <c r="AI16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Sheet11</vt:lpstr>
      <vt:lpstr>Sheet12</vt:lpstr>
      <vt:lpstr>Sheet4</vt:lpstr>
      <vt:lpstr>Sheet3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张智帅</dc:creator>
  <cp:lastModifiedBy>李辛甜(2025310866)</cp:lastModifiedBy>
  <dcterms:created xsi:type="dcterms:W3CDTF">2015-06-05T18:19:00Z</dcterms:created>
  <dcterms:modified xsi:type="dcterms:W3CDTF">2025-11-16T14:31:52Z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89E224F281AB4D93AE7A3BB42454A265_13</vt:lpwstr>
  </property>
  <property fmtid="{D5CDD505-2E9C-101B-9397-08002B2CF9AE}" pid="3" name="KSOProductBuildVer">
    <vt:lpwstr>2052-12.1.0.23542</vt:lpwstr>
  </property>
</Properties>
</file>