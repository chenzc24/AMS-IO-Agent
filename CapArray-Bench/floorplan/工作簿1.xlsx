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RISCAv3_Big_20231118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<sst xmlns="http://schemas.openxmlformats.org/spreadsheetml/2006/main" count="23" uniqueCount="23">
  <si>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cap</t>
  </si>
  <si>
    <t>weight</t>
  </si>
  <si>
    <t>countif</t>
  </si>
  <si>
    <t>pin name</t>
  </si>
  <si>
    <t>Cunit=</t>
  </si>
  <si>
    <t>LSB20</t>
  </si>
  <si>
    <t>LSB21</t>
  </si>
  <si>
    <t>LSB22</t>
  </si>
  <si>
    <t>LSB23</t>
  </si>
  <si>
    <t>LSB0</t>
  </si>
  <si>
    <t>LSB1</t>
  </si>
  <si>
    <t>LSB2</t>
  </si>
  <si>
    <t>LSB3</t>
  </si>
  <si>
    <t>LSB4</t>
  </si>
  <si>
    <t>LSB5</t>
  </si>
  <si>
    <t>MSB0</t>
  </si>
  <si>
    <t>MSB1</t>
  </si>
  <si>
    <t>MSB2</t>
  </si>
  <si>
    <t>MSB3</t>
  </si>
  <si>
    <t>MSB4</t>
  </si>
  <si>
    <t>MSB5</t>
  </si>
  <si>
    <t>第一段电容总数：</t>
  </si>
  <si>
    <t>第二段电容总数：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</si>
</sst>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8"/>
      <color theme="1"/>
      <name val="冬青黑体简体中文 W6"/>
      <charset val="134"/>
    </font>
    <font>
      <sz val="6"/>
      <color theme="1"/>
      <name val="冬青黑体简体中文 W6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" fontId="2" fillId="0" borderId="0" xfId="0" applyNumberFormat="1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tabSelected="1" zoomScale="145" zoomScaleNormal="145" topLeftCell="A7" workbookViewId="0">
      <selection activeCell="U14" sqref="U14"/>
    </sheetView>
  </sheetViews>
  <sheetFormatPr defaultColWidth="9" defaultRowHeight="30" customHeight="1"/>
  <cols>
    <col min="1" max="20" width="3.58333333333333" customWidth="1"/>
    <col min="21" max="21" width="15.2333333333333" customWidth="1"/>
    <col min="22" max="22" width="5.35" customWidth="1"/>
    <col min="23" max="23" width="7" customWidth="1"/>
    <col min="25" max="25" width="9.58333333333333" style="2" customWidth="1"/>
    <col min="27" max="27" width="10.2333333333333" customWidth="1"/>
  </cols>
  <sheetData>
    <row r="1" customHeight="1" spans="1:27"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>
        <v>5.99</v>
      </c>
    </row>
    <row r="2" customHeight="1" spans="1:27">
      <c r="V2" s="4" t="e">
        <f>_xlfn.FLOOR.MATH(U3)</f>
        <v>#NAME?</v>
      </c>
      <c r="W2" s="3">
        <v>1.4</v>
      </c>
      <c r="X2" s="3">
        <f t="shared" ref="X2:X12" si="0">COUNTIF($C$4:$R$22,W2)</f>
        <v>1</v>
      </c>
      <c r="Y2" s="5" t="s">
        <v>5</v>
      </c>
      <c r="AA2">
        <v>5.13</v>
      </c>
    </row>
    <row r="3" customHeight="1" spans="1:27">
      <c r="V3" s="4" t="e">
        <f>_xlfn.FLOOR.MATH(W3)</f>
        <v>#NAME?</v>
      </c>
      <c r="W3" s="3">
        <v>1.3</v>
      </c>
      <c r="X3" s="3">
        <f t="shared" si="0"/>
        <v>1</v>
      </c>
      <c r="Y3" s="5" t="s">
        <v>6</v>
      </c>
      <c r="AA3">
        <v>5.13</v>
      </c>
    </row>
    <row r="4" customHeight="1" spans="1:27">
      <c r="B4" s="6">
        <v>1</v>
      </c>
      <c r="C4" s="7">
        <v>128</v>
      </c>
      <c r="D4" s="7">
        <v>128</v>
      </c>
      <c r="E4" s="7">
        <v>128</v>
      </c>
      <c r="F4" s="7">
        <v>128</v>
      </c>
      <c r="G4" s="7">
        <v>128</v>
      </c>
      <c r="H4" s="7">
        <v>128</v>
      </c>
      <c r="I4" s="7">
        <v>128</v>
      </c>
      <c r="J4" s="7">
        <v>128</v>
      </c>
      <c r="K4" s="7">
        <v>128</v>
      </c>
      <c r="L4" s="7">
        <v>128</v>
      </c>
      <c r="M4" s="7">
        <v>128</v>
      </c>
      <c r="N4" s="7">
        <v>128</v>
      </c>
      <c r="O4" s="7">
        <v>128</v>
      </c>
      <c r="P4" s="7">
        <v>128</v>
      </c>
      <c r="Q4" s="7">
        <v>128</v>
      </c>
      <c r="R4" s="7">
        <v>128</v>
      </c>
      <c r="V4" s="4" t="e">
        <f>_xlfn.FLOOR.MATH(W4)</f>
        <v>#NAME?</v>
      </c>
      <c r="W4" s="3">
        <v>1.2</v>
      </c>
      <c r="X4" s="3">
        <f t="shared" si="0"/>
        <v>1</v>
      </c>
      <c r="Y4" s="5" t="s">
        <v>7</v>
      </c>
      <c r="AA4">
        <v>5.13</v>
      </c>
    </row>
    <row r="5" customHeight="1" spans="1:27">
      <c r="B5" s="6">
        <v>2</v>
      </c>
      <c r="C5" s="7">
        <v>128</v>
      </c>
      <c r="D5" s="7">
        <v>128</v>
      </c>
      <c r="E5" s="7">
        <v>128</v>
      </c>
      <c r="F5" s="7">
        <v>128</v>
      </c>
      <c r="G5" s="7">
        <v>128</v>
      </c>
      <c r="H5" s="7">
        <v>128</v>
      </c>
      <c r="I5" s="7">
        <v>128</v>
      </c>
      <c r="J5" s="7">
        <v>128</v>
      </c>
      <c r="K5" s="7">
        <v>128</v>
      </c>
      <c r="L5" s="7">
        <v>128</v>
      </c>
      <c r="M5" s="7">
        <v>128</v>
      </c>
      <c r="N5" s="7">
        <v>128</v>
      </c>
      <c r="O5" s="7">
        <v>128</v>
      </c>
      <c r="P5" s="7">
        <v>128</v>
      </c>
      <c r="Q5" s="7">
        <v>128</v>
      </c>
      <c r="R5" s="7">
        <v>128</v>
      </c>
      <c r="V5" s="4" t="e">
        <f>_xlfn.FLOOR.MATH(W5)</f>
        <v>#NAME?</v>
      </c>
      <c r="W5" s="3">
        <v>2.3</v>
      </c>
      <c r="X5" s="3">
        <f t="shared" si="0"/>
        <v>2</v>
      </c>
      <c r="Y5" s="5" t="s">
        <v>8</v>
      </c>
      <c r="AA5">
        <v>10.24</v>
      </c>
    </row>
    <row r="6" customHeight="1" spans="1:27">
      <c r="B6" s="6">
        <v>3</v>
      </c>
      <c r="C6" s="7">
        <v>128</v>
      </c>
      <c r="D6" s="7">
        <v>128</v>
      </c>
      <c r="E6" s="7">
        <v>128</v>
      </c>
      <c r="F6" s="7">
        <v>128</v>
      </c>
      <c r="G6" s="7">
        <v>128</v>
      </c>
      <c r="H6" s="7">
        <v>128</v>
      </c>
      <c r="I6" s="7">
        <v>128</v>
      </c>
      <c r="J6" s="7">
        <v>128</v>
      </c>
      <c r="K6" s="7">
        <v>128</v>
      </c>
      <c r="L6" s="7">
        <v>128</v>
      </c>
      <c r="M6" s="7">
        <v>128</v>
      </c>
      <c r="N6" s="7">
        <v>128</v>
      </c>
      <c r="O6" s="7">
        <v>128</v>
      </c>
      <c r="P6" s="7">
        <v>128</v>
      </c>
      <c r="Q6" s="7">
        <v>128</v>
      </c>
      <c r="R6" s="7">
        <v>128</v>
      </c>
      <c r="V6" s="4"/>
      <c r="X6" s="3"/>
      <c r="AA6">
        <f>V6*$AA$1</f>
        <v>0</v>
      </c>
    </row>
    <row r="7" customHeight="1" spans="1:27">
      <c r="B7" s="6">
        <v>4</v>
      </c>
      <c r="C7" s="7">
        <v>128</v>
      </c>
      <c r="D7" s="7">
        <v>128</v>
      </c>
      <c r="E7" s="7">
        <v>128</v>
      </c>
      <c r="F7" s="7">
        <v>128</v>
      </c>
      <c r="G7" s="7">
        <v>128</v>
      </c>
      <c r="H7" s="7">
        <v>64</v>
      </c>
      <c r="I7" s="7">
        <v>64</v>
      </c>
      <c r="J7" s="7">
        <v>64</v>
      </c>
      <c r="K7" s="7">
        <v>64</v>
      </c>
      <c r="L7" s="7">
        <v>64</v>
      </c>
      <c r="M7" s="7">
        <v>64</v>
      </c>
      <c r="N7" s="7">
        <v>64</v>
      </c>
      <c r="O7" s="7">
        <v>64</v>
      </c>
      <c r="P7" s="7">
        <v>64</v>
      </c>
      <c r="Q7" s="7">
        <v>64</v>
      </c>
      <c r="R7" s="7">
        <v>64</v>
      </c>
      <c r="V7" s="4" t="e">
        <f>_xlfn.FLOOR.MATH(W7)</f>
        <v>#NAME?</v>
      </c>
      <c r="W7" s="3">
        <v>2.4</v>
      </c>
      <c r="X7" s="3">
        <f t="shared" si="0"/>
        <v>2</v>
      </c>
      <c r="Y7" s="5" t="s">
        <v>9</v>
      </c>
      <c r="AA7">
        <v>10.24</v>
      </c>
    </row>
    <row r="8" customHeight="1" spans="1:27">
      <c r="B8" s="6">
        <v>5</v>
      </c>
      <c r="C8" s="7">
        <v>128</v>
      </c>
      <c r="D8" s="7">
        <v>128</v>
      </c>
      <c r="E8" s="7">
        <v>128</v>
      </c>
      <c r="F8" s="7">
        <v>128</v>
      </c>
      <c r="G8" s="7">
        <v>128</v>
      </c>
      <c r="H8" s="7">
        <v>64</v>
      </c>
      <c r="I8" s="7">
        <v>64</v>
      </c>
      <c r="J8" s="7">
        <v>64</v>
      </c>
      <c r="K8" s="7">
        <v>64</v>
      </c>
      <c r="L8" s="7">
        <v>64</v>
      </c>
      <c r="M8" s="7">
        <v>64</v>
      </c>
      <c r="N8" s="7">
        <v>64</v>
      </c>
      <c r="O8" s="7">
        <v>64</v>
      </c>
      <c r="P8" s="7">
        <v>64</v>
      </c>
      <c r="Q8" s="7">
        <v>64</v>
      </c>
      <c r="R8" s="7">
        <v>64</v>
      </c>
      <c r="V8" s="4" t="e">
        <f>_xlfn.FLOOR.MATH(W8)</f>
        <v>#NAME?</v>
      </c>
      <c r="W8" s="3">
        <v>4.4</v>
      </c>
      <c r="X8" s="3">
        <f t="shared" si="0"/>
        <v>4</v>
      </c>
      <c r="Y8" s="5" t="s">
        <v>10</v>
      </c>
      <c r="AA8">
        <v>20.44</v>
      </c>
    </row>
    <row r="9" customHeight="1" spans="1:27">
      <c r="B9" s="6">
        <v>6</v>
      </c>
      <c r="C9" s="7">
        <v>128</v>
      </c>
      <c r="D9" s="7">
        <v>128</v>
      </c>
      <c r="E9" s="7">
        <v>128</v>
      </c>
      <c r="F9" s="7">
        <v>128</v>
      </c>
      <c r="G9" s="7">
        <v>128</v>
      </c>
      <c r="H9" s="7">
        <v>64</v>
      </c>
      <c r="I9" s="7">
        <v>64</v>
      </c>
      <c r="J9" s="7">
        <v>64</v>
      </c>
      <c r="K9" s="7">
        <v>32</v>
      </c>
      <c r="L9" s="7">
        <v>32</v>
      </c>
      <c r="M9" s="7">
        <v>32</v>
      </c>
      <c r="N9" s="7">
        <v>32</v>
      </c>
      <c r="O9" s="7">
        <v>32</v>
      </c>
      <c r="P9" s="7">
        <v>32</v>
      </c>
      <c r="Q9" s="7">
        <v>32</v>
      </c>
      <c r="R9" s="7">
        <v>32</v>
      </c>
      <c r="V9" s="4" t="e">
        <f>_xlfn.FLOOR.MATH(W9)</f>
        <v>#NAME?</v>
      </c>
      <c r="W9" s="3">
        <v>8.4</v>
      </c>
      <c r="X9" s="3">
        <f t="shared" si="0"/>
        <v>8</v>
      </c>
      <c r="Y9" s="5" t="s">
        <v>11</v>
      </c>
      <c r="AA9">
        <v>40.84</v>
      </c>
    </row>
    <row r="10" customHeight="1" spans="1:27">
      <c r="B10" s="6">
        <v>7</v>
      </c>
      <c r="C10" s="7">
        <v>128</v>
      </c>
      <c r="D10" s="7">
        <v>128</v>
      </c>
      <c r="E10" s="7">
        <v>128</v>
      </c>
      <c r="F10" s="7">
        <v>128</v>
      </c>
      <c r="G10" s="7">
        <v>128</v>
      </c>
      <c r="H10" s="7">
        <v>64</v>
      </c>
      <c r="I10" s="7">
        <v>64</v>
      </c>
      <c r="J10" s="7">
        <v>64</v>
      </c>
      <c r="K10" s="7">
        <v>32</v>
      </c>
      <c r="L10" s="7">
        <v>32</v>
      </c>
      <c r="M10" s="7">
        <v>16</v>
      </c>
      <c r="N10" s="7">
        <v>16</v>
      </c>
      <c r="O10" s="7">
        <v>16</v>
      </c>
      <c r="P10" s="7">
        <v>16</v>
      </c>
      <c r="Q10" s="7">
        <v>16</v>
      </c>
      <c r="R10" s="7">
        <v>16</v>
      </c>
      <c r="V10" s="4" t="e">
        <f>_xlfn.FLOOR.MATH(W10)</f>
        <v>#NAME?</v>
      </c>
      <c r="W10" s="3">
        <v>1</v>
      </c>
      <c r="X10" s="3">
        <f t="shared" si="0"/>
        <v>1</v>
      </c>
      <c r="Y10" s="5" t="s">
        <v>12</v>
      </c>
      <c r="AA10">
        <v>5.13</v>
      </c>
    </row>
    <row r="11" customHeight="1" spans="1:27">
      <c r="B11" s="6">
        <v>8</v>
      </c>
      <c r="C11" s="7">
        <v>128</v>
      </c>
      <c r="D11" s="7">
        <v>128</v>
      </c>
      <c r="E11" s="7">
        <v>128</v>
      </c>
      <c r="F11" s="7">
        <v>128</v>
      </c>
      <c r="G11" s="7">
        <v>128</v>
      </c>
      <c r="H11" s="7">
        <v>64</v>
      </c>
      <c r="I11" s="7">
        <v>64</v>
      </c>
      <c r="J11" s="7">
        <v>64</v>
      </c>
      <c r="K11" s="7">
        <v>32</v>
      </c>
      <c r="L11" s="7">
        <v>32</v>
      </c>
      <c r="M11" s="7">
        <v>16</v>
      </c>
      <c r="N11" s="7">
        <v>8</v>
      </c>
      <c r="O11" s="7">
        <v>8</v>
      </c>
      <c r="P11" s="7">
        <v>8</v>
      </c>
      <c r="Q11" s="7">
        <v>8</v>
      </c>
      <c r="R11" s="7">
        <v>8</v>
      </c>
      <c r="V11" s="4" t="e">
        <f>_xlfn.FLOOR.MATH(W11)</f>
        <v>#NAME?</v>
      </c>
      <c r="W11" s="3">
        <v>2</v>
      </c>
      <c r="X11" s="3">
        <f t="shared" si="0"/>
        <v>2</v>
      </c>
      <c r="Y11" s="5" t="s">
        <v>13</v>
      </c>
      <c r="AA11">
        <v>10.24</v>
      </c>
    </row>
    <row r="12" s="1" customFormat="1" customHeight="1" spans="1:27">
      <c r="A12"/>
      <c r="B12" s="6">
        <v>9</v>
      </c>
      <c r="C12" s="7">
        <v>128</v>
      </c>
      <c r="D12" s="7">
        <v>128</v>
      </c>
      <c r="E12" s="7">
        <v>128</v>
      </c>
      <c r="F12" s="7">
        <v>128</v>
      </c>
      <c r="G12" s="7">
        <v>128</v>
      </c>
      <c r="H12" s="7">
        <v>64</v>
      </c>
      <c r="I12" s="7">
        <v>64</v>
      </c>
      <c r="J12" s="7">
        <v>64</v>
      </c>
      <c r="K12" s="7">
        <v>32</v>
      </c>
      <c r="L12" s="7">
        <v>32</v>
      </c>
      <c r="M12" s="7">
        <v>16</v>
      </c>
      <c r="N12" s="7">
        <v>8</v>
      </c>
      <c r="O12" s="7">
        <v>4</v>
      </c>
      <c r="P12" s="7">
        <v>4.1</v>
      </c>
      <c r="Q12" s="7">
        <v>4.1</v>
      </c>
      <c r="R12" s="7">
        <v>4.1</v>
      </c>
      <c r="S12"/>
      <c r="T12"/>
      <c r="U12"/>
      <c r="V12" s="4" t="e">
        <f>_xlfn.FLOOR.MATH(W12)</f>
        <v>#NAME?</v>
      </c>
      <c r="W12" s="3">
        <v>4</v>
      </c>
      <c r="X12" s="3">
        <f t="shared" si="0"/>
        <v>4</v>
      </c>
      <c r="Y12" s="5" t="s">
        <v>14</v>
      </c>
      <c r="AA12">
        <v>20.42</v>
      </c>
    </row>
    <row r="13" customHeight="1" spans="1:27">
      <c r="B13" s="6">
        <v>10</v>
      </c>
      <c r="C13" s="7">
        <v>128</v>
      </c>
      <c r="D13" s="7">
        <v>128</v>
      </c>
      <c r="E13" s="7">
        <v>128</v>
      </c>
      <c r="F13" s="7">
        <v>128</v>
      </c>
      <c r="G13" s="7">
        <v>128</v>
      </c>
      <c r="H13" s="7">
        <v>64</v>
      </c>
      <c r="I13" s="7">
        <v>64</v>
      </c>
      <c r="J13" s="7">
        <v>64</v>
      </c>
      <c r="K13" s="7">
        <v>32</v>
      </c>
      <c r="L13" s="7">
        <v>32</v>
      </c>
      <c r="M13" s="7">
        <v>16</v>
      </c>
      <c r="N13" s="7">
        <v>8</v>
      </c>
      <c r="O13" s="7">
        <v>4</v>
      </c>
      <c r="P13" s="7">
        <v>4</v>
      </c>
      <c r="Q13" s="7">
        <v>4</v>
      </c>
      <c r="R13" s="7">
        <v>4.1</v>
      </c>
      <c r="V13" s="4"/>
      <c r="X13" s="3"/>
      <c r="AA13">
        <f>V13*$AA$1</f>
        <v>0</v>
      </c>
    </row>
    <row r="14" customHeight="1" spans="1:27">
      <c r="B14" s="6">
        <v>11</v>
      </c>
      <c r="C14" s="7">
        <v>128</v>
      </c>
      <c r="D14" s="7">
        <v>128</v>
      </c>
      <c r="E14" s="7">
        <v>128</v>
      </c>
      <c r="F14" s="7">
        <v>128</v>
      </c>
      <c r="G14" s="7">
        <v>128</v>
      </c>
      <c r="H14" s="7">
        <v>64</v>
      </c>
      <c r="I14" s="7">
        <v>64</v>
      </c>
      <c r="J14" s="7">
        <v>64</v>
      </c>
      <c r="K14" s="7">
        <v>32</v>
      </c>
      <c r="L14" s="7">
        <v>32</v>
      </c>
      <c r="M14" s="7">
        <v>16</v>
      </c>
      <c r="N14" s="7">
        <v>8</v>
      </c>
      <c r="O14" s="7">
        <v>1.8</v>
      </c>
      <c r="P14" s="7">
        <v>1</v>
      </c>
      <c r="Q14" s="7">
        <v>2</v>
      </c>
      <c r="R14" s="7">
        <v>2</v>
      </c>
      <c r="V14" s="4" t="e">
        <f>_xlfn.FLOOR.MATH(W14)</f>
        <v>#NAME?</v>
      </c>
      <c r="W14" s="3">
        <v>4.1</v>
      </c>
      <c r="X14" s="3">
        <f t="shared" ref="X14:X19" si="1">COUNTIF($C$4:$R$22,W14)</f>
        <v>4</v>
      </c>
      <c r="Y14" s="5" t="s">
        <v>15</v>
      </c>
      <c r="AA14">
        <v>20.42</v>
      </c>
    </row>
    <row r="15" customHeight="1" spans="1:27">
      <c r="B15" s="6">
        <v>1</v>
      </c>
      <c r="C15" s="7">
        <v>128</v>
      </c>
      <c r="D15" s="7">
        <v>128</v>
      </c>
      <c r="E15" s="7">
        <v>128</v>
      </c>
      <c r="F15" s="7">
        <v>128</v>
      </c>
      <c r="G15" s="7">
        <v>128</v>
      </c>
      <c r="H15" s="7">
        <v>64</v>
      </c>
      <c r="I15" s="7">
        <v>64</v>
      </c>
      <c r="J15" s="7">
        <v>64</v>
      </c>
      <c r="K15" s="7">
        <v>32</v>
      </c>
      <c r="L15" s="7">
        <v>32</v>
      </c>
      <c r="M15" s="7">
        <v>16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V15" s="4" t="e">
        <f>_xlfn.FLOOR.MATH(W15)</f>
        <v>#NAME?</v>
      </c>
      <c r="W15" s="3">
        <v>8</v>
      </c>
      <c r="X15" s="3">
        <f t="shared" si="1"/>
        <v>8</v>
      </c>
      <c r="Y15" s="5" t="s">
        <v>16</v>
      </c>
      <c r="AA15">
        <v>40.98</v>
      </c>
    </row>
    <row r="16" customHeight="1" spans="1:27">
      <c r="B16" s="6">
        <v>2</v>
      </c>
      <c r="C16" s="7">
        <v>128</v>
      </c>
      <c r="D16" s="7">
        <v>128</v>
      </c>
      <c r="E16" s="7">
        <v>128</v>
      </c>
      <c r="F16" s="7">
        <v>128</v>
      </c>
      <c r="G16" s="7">
        <v>128</v>
      </c>
      <c r="H16" s="7">
        <v>64</v>
      </c>
      <c r="I16" s="7">
        <v>64</v>
      </c>
      <c r="J16" s="7">
        <v>64</v>
      </c>
      <c r="K16" s="7">
        <v>32</v>
      </c>
      <c r="L16" s="7">
        <v>32</v>
      </c>
      <c r="M16" s="7">
        <v>16</v>
      </c>
      <c r="N16" s="7">
        <v>0</v>
      </c>
      <c r="O16" s="7">
        <v>8.4</v>
      </c>
      <c r="P16" s="7">
        <v>8.4</v>
      </c>
      <c r="Q16" s="7">
        <v>8.4</v>
      </c>
      <c r="R16" s="7">
        <v>8.4</v>
      </c>
      <c r="V16" s="4" t="e">
        <f>_xlfn.FLOOR.MATH(W16)</f>
        <v>#NAME?</v>
      </c>
      <c r="W16" s="3">
        <v>16</v>
      </c>
      <c r="X16" s="3">
        <f t="shared" si="1"/>
        <v>16</v>
      </c>
      <c r="Y16" s="5" t="s">
        <v>17</v>
      </c>
      <c r="AA16">
        <v>81.93</v>
      </c>
    </row>
    <row r="17" customHeight="1" spans="2:27">
      <c r="B17" s="6">
        <v>3</v>
      </c>
      <c r="C17" s="7">
        <v>128</v>
      </c>
      <c r="D17" s="7">
        <v>128</v>
      </c>
      <c r="E17" s="7">
        <v>128</v>
      </c>
      <c r="F17" s="7">
        <v>128</v>
      </c>
      <c r="G17" s="7">
        <v>128</v>
      </c>
      <c r="H17" s="7">
        <v>64</v>
      </c>
      <c r="I17" s="7">
        <v>64</v>
      </c>
      <c r="J17" s="7">
        <v>64</v>
      </c>
      <c r="K17" s="7">
        <v>32</v>
      </c>
      <c r="L17" s="7">
        <v>32</v>
      </c>
      <c r="M17" s="7">
        <v>16</v>
      </c>
      <c r="N17" s="7">
        <v>0</v>
      </c>
      <c r="O17" s="7">
        <v>8.4</v>
      </c>
      <c r="P17" s="7">
        <v>4.4</v>
      </c>
      <c r="Q17" s="7">
        <v>4.4</v>
      </c>
      <c r="R17" s="7">
        <v>4.4</v>
      </c>
      <c r="V17" s="4" t="e">
        <f>_xlfn.FLOOR.MATH(W17)</f>
        <v>#NAME?</v>
      </c>
      <c r="W17" s="3">
        <v>32</v>
      </c>
      <c r="X17" s="3">
        <f t="shared" si="1"/>
        <v>32</v>
      </c>
      <c r="Y17" s="5" t="s">
        <v>18</v>
      </c>
      <c r="AA17">
        <v>162.69</v>
      </c>
    </row>
    <row r="18" customHeight="1" spans="2:27">
      <c r="B18" s="6">
        <v>4</v>
      </c>
      <c r="C18" s="7">
        <v>128</v>
      </c>
      <c r="D18" s="7">
        <v>128</v>
      </c>
      <c r="E18" s="7">
        <v>128</v>
      </c>
      <c r="F18" s="7">
        <v>128</v>
      </c>
      <c r="G18" s="7">
        <v>128</v>
      </c>
      <c r="H18" s="7">
        <v>64</v>
      </c>
      <c r="I18" s="7">
        <v>64</v>
      </c>
      <c r="J18" s="7">
        <v>64</v>
      </c>
      <c r="K18" s="7">
        <v>32</v>
      </c>
      <c r="L18" s="7">
        <v>32</v>
      </c>
      <c r="M18" s="7">
        <v>16</v>
      </c>
      <c r="N18" s="7">
        <v>0</v>
      </c>
      <c r="O18" s="7">
        <v>8.4</v>
      </c>
      <c r="P18" s="7">
        <v>4.4</v>
      </c>
      <c r="Q18" s="7">
        <v>2.3</v>
      </c>
      <c r="R18" s="7">
        <v>2.3</v>
      </c>
      <c r="V18" s="4" t="e">
        <f>_xlfn.FLOOR.MATH(W18)</f>
        <v>#NAME?</v>
      </c>
      <c r="W18" s="3">
        <v>64</v>
      </c>
      <c r="X18" s="3">
        <f t="shared" si="1"/>
        <v>64</v>
      </c>
      <c r="Y18" s="5" t="s">
        <v>19</v>
      </c>
      <c r="AA18">
        <v>324.52</v>
      </c>
    </row>
    <row r="19" customHeight="1" spans="2:27">
      <c r="B19" s="6">
        <v>5</v>
      </c>
      <c r="C19" s="7">
        <v>128</v>
      </c>
      <c r="D19" s="7">
        <v>128</v>
      </c>
      <c r="E19" s="7">
        <v>128</v>
      </c>
      <c r="F19" s="7">
        <v>128</v>
      </c>
      <c r="G19" s="7">
        <v>128</v>
      </c>
      <c r="H19" s="7">
        <v>64</v>
      </c>
      <c r="I19" s="7">
        <v>64</v>
      </c>
      <c r="J19" s="7">
        <v>64</v>
      </c>
      <c r="K19" s="7">
        <v>32</v>
      </c>
      <c r="L19" s="7">
        <v>32</v>
      </c>
      <c r="M19" s="7">
        <v>16</v>
      </c>
      <c r="N19" s="7">
        <v>0</v>
      </c>
      <c r="O19" s="7">
        <v>8.4</v>
      </c>
      <c r="P19" s="7">
        <v>8.4</v>
      </c>
      <c r="Q19" s="7">
        <v>2.4</v>
      </c>
      <c r="R19" s="7">
        <v>2.4</v>
      </c>
      <c r="V19" s="4" t="e">
        <f>_xlfn.FLOOR.MATH(W19)</f>
        <v>#NAME?</v>
      </c>
      <c r="W19" s="3">
        <v>128</v>
      </c>
      <c r="X19" s="3">
        <f t="shared" si="1"/>
        <v>128</v>
      </c>
      <c r="Y19" s="5" t="s">
        <v>20</v>
      </c>
      <c r="AA19">
        <v>650.14</v>
      </c>
    </row>
    <row r="20" customHeight="1" spans="2:27">
      <c r="B20" s="6">
        <v>6</v>
      </c>
      <c r="C20" s="7">
        <v>128</v>
      </c>
      <c r="D20" s="7">
        <v>128</v>
      </c>
      <c r="E20" s="7">
        <v>128</v>
      </c>
      <c r="F20" s="7">
        <v>128</v>
      </c>
      <c r="G20" s="7">
        <v>128</v>
      </c>
      <c r="H20" s="7">
        <v>64</v>
      </c>
      <c r="I20" s="7">
        <v>64</v>
      </c>
      <c r="J20" s="7">
        <v>64</v>
      </c>
      <c r="K20" s="7">
        <v>32</v>
      </c>
      <c r="L20" s="7">
        <v>32</v>
      </c>
      <c r="M20" s="7">
        <v>16</v>
      </c>
      <c r="N20" s="7">
        <v>0</v>
      </c>
      <c r="O20" s="8">
        <v>1.9</v>
      </c>
      <c r="P20" s="8">
        <v>1.4</v>
      </c>
      <c r="Q20" s="8">
        <v>1.3</v>
      </c>
      <c r="R20" s="8">
        <v>1.2</v>
      </c>
      <c r="U20" t="s">
        <v>21</v>
      </c>
      <c r="V20" s="9" t="e">
        <f>SUM(V10:V19)</f>
        <v>#NAME?</v>
      </c>
    </row>
    <row r="21" customHeight="1" spans="2:27">
      <c r="B21" s="6">
        <v>7</v>
      </c>
      <c r="C21" s="7">
        <v>128</v>
      </c>
      <c r="D21" s="7">
        <v>128</v>
      </c>
      <c r="E21" s="7">
        <v>128</v>
      </c>
      <c r="F21" s="7">
        <v>128</v>
      </c>
      <c r="G21" s="7">
        <v>128</v>
      </c>
      <c r="H21" s="7">
        <v>64</v>
      </c>
      <c r="I21" s="7">
        <v>64</v>
      </c>
      <c r="J21" s="7">
        <v>64</v>
      </c>
      <c r="K21" s="7">
        <v>32</v>
      </c>
      <c r="L21" s="7"/>
      <c r="M21" s="7">
        <v>2.9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U21" t="s">
        <v>22</v>
      </c>
      <c r="V21" s="9" t="e">
        <f>SUM(V2:V9)</f>
        <v>#NAME?</v>
      </c>
    </row>
    <row r="22" customHeight="1" spans="2:27">
      <c r="B22" s="6">
        <v>8</v>
      </c>
      <c r="C22" s="7">
        <v>128</v>
      </c>
      <c r="D22" s="7">
        <v>128</v>
      </c>
      <c r="E22" s="7">
        <v>128</v>
      </c>
      <c r="F22" s="7">
        <v>128</v>
      </c>
      <c r="G22" s="7">
        <v>128</v>
      </c>
      <c r="H22" s="7">
        <v>64</v>
      </c>
      <c r="I22" s="7">
        <v>64</v>
      </c>
      <c r="J22" s="7">
        <v>64</v>
      </c>
      <c r="K22" s="7">
        <v>32</v>
      </c>
      <c r="L22" s="7"/>
      <c r="M22" s="7">
        <v>2.9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</row>
    <row r="23" customHeight="1" spans="2:27"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1">
        <v>7</v>
      </c>
      <c r="J23" s="1">
        <v>8</v>
      </c>
      <c r="K23" s="1">
        <v>9</v>
      </c>
      <c r="L23" s="1">
        <v>10</v>
      </c>
      <c r="M23" s="1">
        <v>11</v>
      </c>
      <c r="N23" s="1">
        <v>12</v>
      </c>
      <c r="O23" s="1">
        <v>13</v>
      </c>
      <c r="P23" s="1">
        <v>14</v>
      </c>
      <c r="Q23" s="1">
        <v>15</v>
      </c>
      <c r="R23" s="1">
        <v>16</v>
      </c>
    </row>
  </sheetData>
  <conditionalFormatting sqref="C4:R22">
    <cfRule type="colorScale" priority="1">
      <colorScale>
        <cfvo type="min"/>
        <cfvo type="percentile" val="4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RISCAv3_Big_20231118V3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xintian Li</dc:creator>
  <cp:lastModifiedBy>李辛甜(2025310866)</cp:lastModifiedBy>
  <dcterms:created xsi:type="dcterms:W3CDTF">2025-11-10T14:32:41Z</dcterms:created>
  <dcterms:modified xsi:type="dcterms:W3CDTF">2025-11-10T14:32:54Z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E45A46C2C87749AC9837BA760B6DE7F7_11</vt:lpwstr>
  </property>
  <property fmtid="{D5CDD505-2E9C-101B-9397-08002B2CF9AE}" pid="3" name="KSOProductBuildVer">
    <vt:lpwstr>2052-12.1.0.23542</vt:lpwstr>
  </property>
</Properties>
</file>